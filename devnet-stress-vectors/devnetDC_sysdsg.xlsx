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ronode-my.sharepoint.com/personal/ashok_zeronode_ca/Documents/Ashok/SFU- SustainableEnergyEngineering/Sustainable Energy &amp; Datacenter Models Tools/EnergySystemAnalysis- PyPSA/pypsa-zn/devnet-stress-vectors/"/>
    </mc:Choice>
  </mc:AlternateContent>
  <xr:revisionPtr revIDLastSave="977" documentId="8_{D14F584D-A05A-43A3-AFDA-52A9E689CEB4}" xr6:coauthVersionLast="47" xr6:coauthVersionMax="47" xr10:uidLastSave="{F3E44C7F-5A86-476F-8F35-2ACAB9977F3E}"/>
  <bookViews>
    <workbookView xWindow="28680" yWindow="-3150" windowWidth="29040" windowHeight="15720" activeTab="1" xr2:uid="{E9B93916-37A1-4967-A422-0DA27E86D717}"/>
  </bookViews>
  <sheets>
    <sheet name="UsageGuide" sheetId="3" r:id="rId1"/>
    <sheet name="devnetDC_dsg" sheetId="1" r:id="rId2"/>
    <sheet name="EventHou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3" i="1" l="1"/>
  <c r="F275" i="1"/>
  <c r="F274" i="1"/>
  <c r="F248" i="1"/>
  <c r="F247" i="1"/>
  <c r="F220" i="1"/>
  <c r="F108" i="1"/>
  <c r="F89" i="1"/>
  <c r="F70" i="1"/>
  <c r="F56" i="1"/>
  <c r="F42" i="1"/>
  <c r="F221" i="1"/>
  <c r="F218" i="1"/>
  <c r="F217" i="1"/>
  <c r="C217" i="1"/>
  <c r="D214" i="1"/>
  <c r="D181" i="1"/>
  <c r="F124" i="1"/>
  <c r="D121" i="1"/>
  <c r="D102" i="1"/>
  <c r="C124" i="1"/>
  <c r="F125" i="1"/>
  <c r="F105" i="1"/>
  <c r="F106" i="1" s="1"/>
  <c r="C105" i="1"/>
  <c r="F86" i="1"/>
  <c r="F87" i="1" s="1"/>
  <c r="C86" i="1"/>
  <c r="F8" i="1"/>
  <c r="F39" i="1"/>
  <c r="D36" i="1"/>
  <c r="C39" i="1"/>
  <c r="C7" i="1"/>
  <c r="AH222" i="1"/>
  <c r="AI222" i="1" s="1"/>
  <c r="F285" i="1"/>
  <c r="T284" i="1"/>
  <c r="S284" i="1"/>
  <c r="R284" i="1"/>
  <c r="F284" i="1"/>
  <c r="T281" i="1"/>
  <c r="I280" i="1"/>
  <c r="I281" i="1" s="1"/>
  <c r="AA279" i="1"/>
  <c r="R279" i="1"/>
  <c r="R281" i="1" s="1"/>
  <c r="F279" i="1"/>
  <c r="AA278" i="1"/>
  <c r="F278" i="1"/>
  <c r="F277" i="1"/>
  <c r="AH276" i="1"/>
  <c r="AI276" i="1" s="1"/>
  <c r="AH249" i="1"/>
  <c r="AI249" i="1" s="1"/>
  <c r="AH190" i="1"/>
  <c r="AI190" i="1" s="1"/>
  <c r="AG12" i="1"/>
  <c r="AH12" i="1" s="1"/>
  <c r="S257" i="1"/>
  <c r="S230" i="1"/>
  <c r="S197" i="1"/>
  <c r="S178" i="1"/>
  <c r="S164" i="1"/>
  <c r="S137" i="1"/>
  <c r="S118" i="1"/>
  <c r="S99" i="1"/>
  <c r="S80" i="1"/>
  <c r="S66" i="1"/>
  <c r="S52" i="1"/>
  <c r="F168" i="1"/>
  <c r="F154" i="1"/>
  <c r="R137" i="1"/>
  <c r="F128" i="1" s="1"/>
  <c r="F127" i="1"/>
  <c r="F109" i="1"/>
  <c r="F90" i="1"/>
  <c r="F258" i="1"/>
  <c r="T257" i="1"/>
  <c r="R257" i="1"/>
  <c r="F257" i="1"/>
  <c r="T254" i="1"/>
  <c r="I253" i="1"/>
  <c r="I254" i="1" s="1"/>
  <c r="AA252" i="1"/>
  <c r="R252" i="1"/>
  <c r="R254" i="1" s="1"/>
  <c r="F252" i="1"/>
  <c r="AA251" i="1"/>
  <c r="F251" i="1"/>
  <c r="F250" i="1"/>
  <c r="F231" i="1"/>
  <c r="T230" i="1"/>
  <c r="R230" i="1"/>
  <c r="F230" i="1"/>
  <c r="T227" i="1"/>
  <c r="T231" i="1" s="1"/>
  <c r="I226" i="1"/>
  <c r="I227" i="1" s="1"/>
  <c r="AA225" i="1"/>
  <c r="R225" i="1"/>
  <c r="R227" i="1" s="1"/>
  <c r="F225" i="1"/>
  <c r="AA224" i="1"/>
  <c r="F224" i="1"/>
  <c r="F223" i="1"/>
  <c r="AA47" i="1"/>
  <c r="AA46" i="1"/>
  <c r="AA61" i="1"/>
  <c r="AA60" i="1"/>
  <c r="AA94" i="1"/>
  <c r="AA93" i="1"/>
  <c r="AA113" i="1"/>
  <c r="AA112" i="1"/>
  <c r="AA75" i="1"/>
  <c r="AA74" i="1"/>
  <c r="AA132" i="1"/>
  <c r="AA131" i="1"/>
  <c r="AA159" i="1"/>
  <c r="AA158" i="1"/>
  <c r="AA173" i="1"/>
  <c r="AA172" i="1"/>
  <c r="F47" i="1"/>
  <c r="F46" i="1"/>
  <c r="F94" i="1"/>
  <c r="F93" i="1"/>
  <c r="F61" i="1"/>
  <c r="F60" i="1"/>
  <c r="F113" i="1"/>
  <c r="F112" i="1"/>
  <c r="F75" i="1"/>
  <c r="F74" i="1"/>
  <c r="F132" i="1"/>
  <c r="F159" i="1"/>
  <c r="F173" i="1"/>
  <c r="AA191" i="1"/>
  <c r="F192" i="1"/>
  <c r="F191" i="1"/>
  <c r="F198" i="1"/>
  <c r="T197" i="1"/>
  <c r="R197" i="1"/>
  <c r="F197" i="1"/>
  <c r="T194" i="1"/>
  <c r="T198" i="1" s="1"/>
  <c r="I193" i="1"/>
  <c r="I194" i="1" s="1"/>
  <c r="AA192" i="1"/>
  <c r="R192" i="1"/>
  <c r="R194" i="1" s="1"/>
  <c r="R198" i="1" s="1"/>
  <c r="F190" i="1"/>
  <c r="F179" i="1"/>
  <c r="T178" i="1"/>
  <c r="R178" i="1"/>
  <c r="F169" i="1" s="1"/>
  <c r="F178" i="1"/>
  <c r="T175" i="1"/>
  <c r="T179" i="1" s="1"/>
  <c r="I174" i="1"/>
  <c r="I175" i="1" s="1"/>
  <c r="R173" i="1"/>
  <c r="R175" i="1" s="1"/>
  <c r="F172" i="1"/>
  <c r="F171" i="1"/>
  <c r="F165" i="1"/>
  <c r="T164" i="1"/>
  <c r="R164" i="1"/>
  <c r="F155" i="1" s="1"/>
  <c r="F164" i="1"/>
  <c r="T161" i="1"/>
  <c r="I160" i="1"/>
  <c r="I161" i="1" s="1"/>
  <c r="R159" i="1"/>
  <c r="R161" i="1" s="1"/>
  <c r="F158" i="1"/>
  <c r="F157" i="1"/>
  <c r="F131" i="1"/>
  <c r="F130" i="1"/>
  <c r="R132" i="1"/>
  <c r="R134" i="1" s="1"/>
  <c r="F138" i="1"/>
  <c r="T137" i="1"/>
  <c r="F137" i="1"/>
  <c r="T134" i="1"/>
  <c r="T138" i="1" s="1"/>
  <c r="I133" i="1"/>
  <c r="I134" i="1" s="1"/>
  <c r="I114" i="1"/>
  <c r="I115" i="1" s="1"/>
  <c r="I95" i="1"/>
  <c r="I96" i="1" s="1"/>
  <c r="I76" i="1"/>
  <c r="I77" i="1" s="1"/>
  <c r="I62" i="1"/>
  <c r="I63" i="1" s="1"/>
  <c r="I48" i="1"/>
  <c r="I49" i="1" s="1"/>
  <c r="F81" i="1"/>
  <c r="T80" i="1"/>
  <c r="R80" i="1"/>
  <c r="F80" i="1"/>
  <c r="T77" i="1"/>
  <c r="T81" i="1" s="1"/>
  <c r="R75" i="1"/>
  <c r="R77" i="1" s="1"/>
  <c r="R81" i="1" s="1"/>
  <c r="F73" i="1"/>
  <c r="R52" i="1"/>
  <c r="F53" i="1"/>
  <c r="R66" i="1"/>
  <c r="F67" i="1"/>
  <c r="R99" i="1"/>
  <c r="F100" i="1"/>
  <c r="R118" i="1"/>
  <c r="F119" i="1"/>
  <c r="T118" i="1"/>
  <c r="F118" i="1"/>
  <c r="T115" i="1"/>
  <c r="T119" i="1" s="1"/>
  <c r="R113" i="1"/>
  <c r="R115" i="1" s="1"/>
  <c r="F111" i="1"/>
  <c r="T52" i="1"/>
  <c r="F52" i="1"/>
  <c r="T66" i="1"/>
  <c r="F66" i="1"/>
  <c r="T99" i="1"/>
  <c r="F99" i="1"/>
  <c r="T96" i="1"/>
  <c r="T100" i="1" s="1"/>
  <c r="R94" i="1"/>
  <c r="R96" i="1" s="1"/>
  <c r="F92" i="1"/>
  <c r="R61" i="1"/>
  <c r="R63" i="1" s="1"/>
  <c r="F59" i="1"/>
  <c r="R47" i="1"/>
  <c r="R49" i="1" s="1"/>
  <c r="F45" i="1"/>
  <c r="T63" i="1"/>
  <c r="T49" i="1"/>
  <c r="T17" i="1"/>
  <c r="T21" i="1" s="1"/>
  <c r="R17" i="1"/>
  <c r="R21" i="1" s="1"/>
  <c r="T285" i="1" l="1"/>
  <c r="R285" i="1"/>
  <c r="R258" i="1"/>
  <c r="T258" i="1"/>
  <c r="R138" i="1"/>
  <c r="R231" i="1"/>
  <c r="R119" i="1"/>
  <c r="R100" i="1"/>
  <c r="R67" i="1"/>
  <c r="R53" i="1"/>
  <c r="R179" i="1"/>
  <c r="T165" i="1"/>
  <c r="R165" i="1"/>
  <c r="T67" i="1"/>
  <c r="T53" i="1"/>
</calcChain>
</file>

<file path=xl/sharedStrings.xml><?xml version="1.0" encoding="utf-8"?>
<sst xmlns="http://schemas.openxmlformats.org/spreadsheetml/2006/main" count="1514" uniqueCount="348">
  <si>
    <t>Devnet 6 node system design</t>
  </si>
  <si>
    <t>bus</t>
  </si>
  <si>
    <t>WECC_NW</t>
  </si>
  <si>
    <t>WECC_SW</t>
  </si>
  <si>
    <t>SPP_MISO</t>
  </si>
  <si>
    <t>PJM_NE</t>
  </si>
  <si>
    <t>SERC_SE</t>
  </si>
  <si>
    <t>ERCOT</t>
  </si>
  <si>
    <t>devnet_assets</t>
  </si>
  <si>
    <t>Total</t>
  </si>
  <si>
    <t>gen_p_nom
(MW)</t>
  </si>
  <si>
    <t>gen_mc
(USD/MWh)</t>
  </si>
  <si>
    <t>load_p_set
(MW)</t>
  </si>
  <si>
    <t>line</t>
  </si>
  <si>
    <t>bus0</t>
  </si>
  <si>
    <t>bus1</t>
  </si>
  <si>
    <t>x</t>
  </si>
  <si>
    <t>r</t>
  </si>
  <si>
    <t>s_nom</t>
  </si>
  <si>
    <t>carrier</t>
  </si>
  <si>
    <t>L_WECC_NW_WECC_SW</t>
  </si>
  <si>
    <t>ac</t>
  </si>
  <si>
    <t>L_WECC_SW_SPP_MISO</t>
  </si>
  <si>
    <t>L_SPP_MISO_ERCOT</t>
  </si>
  <si>
    <t>L_SPP_MISO_PJM_NE</t>
  </si>
  <si>
    <t>L_PJM_NE_SERC_SE</t>
  </si>
  <si>
    <t>L_SERC_SE_ERCOT</t>
  </si>
  <si>
    <t>devnet_lines</t>
  </si>
  <si>
    <t>devnet_buses</t>
  </si>
  <si>
    <t>y</t>
  </si>
  <si>
    <t>v_nom
(KV)</t>
  </si>
  <si>
    <t>devnet_dc</t>
  </si>
  <si>
    <t>dc_name</t>
  </si>
  <si>
    <t>DC_PJM_NE</t>
  </si>
  <si>
    <t>byog_p_nom
(MW)</t>
  </si>
  <si>
    <t>byog_mc
(USD/MWh)</t>
  </si>
  <si>
    <t>p_set
(MW)</t>
  </si>
  <si>
    <t>System at Capacity</t>
  </si>
  <si>
    <t>System Total</t>
  </si>
  <si>
    <t>Failure (%)</t>
  </si>
  <si>
    <t>DC Mitigation</t>
  </si>
  <si>
    <t>Mitigation (%)</t>
  </si>
  <si>
    <t>devnet_stress.py &gt; o/p:</t>
  </si>
  <si>
    <t>~\devnetDC-sld\stress_out\:index.html</t>
  </si>
  <si>
    <t>Start hour</t>
  </si>
  <si>
    <t>End hour</t>
  </si>
  <si>
    <t>Outage (days)</t>
  </si>
  <si>
    <t>ASR-DASH::PREVIEW::baseline</t>
  </si>
  <si>
    <t>----------------------------------------</t>
  </si>
  <si>
    <t>args: scenario=baseline  mc_mode=set  line=-  k_load={}  k_line={"L_PJM_NE_SERC_SE": 0.0}  k_gen={}  mc_bus={}  lmp_bus=PJM_NE  byog_mc=CSV Preset::60.0  dc_p_set=CSV Preset::2000.0  dc_p_nom=CSV Preset::2000.0</t>
  </si>
  <si>
    <t>objective        : 1.620e+06</t>
  </si>
  <si>
    <t>total_load_mw     : 32,000.0</t>
  </si>
  <si>
    <t>generator_dispatch_mw:</t>
  </si>
  <si>
    <t xml:space="preserve">  Gen_WECC_NW             :    5,000.0</t>
  </si>
  <si>
    <t xml:space="preserve">  Gen_WECC_SW             :    5,000.0</t>
  </si>
  <si>
    <t xml:space="preserve">  Gen_SPP_MISO            :    5,000.0</t>
  </si>
  <si>
    <t xml:space="preserve">  Gen_PJM_NE              :    5,000.0</t>
  </si>
  <si>
    <t xml:space="preserve">  Gen_SERC_SE             :    5,000.0</t>
  </si>
  <si>
    <t xml:space="preserve">  Gen_ERCOT               :    5,000.0</t>
  </si>
  <si>
    <t xml:space="preserve">  Gen_DC_PJM_NE           :    2,000.0</t>
  </si>
  <si>
    <t>bus_import_export_mw (+IMPORT / -EXPORT):</t>
  </si>
  <si>
    <t xml:space="preserve">  WECC_NW                 :        0.0</t>
  </si>
  <si>
    <t xml:space="preserve">  WECC_SW                 :        0.0</t>
  </si>
  <si>
    <t xml:space="preserve">  SPP_MISO                :        0.0</t>
  </si>
  <si>
    <t xml:space="preserve">  PJM_NE                  :        0.0</t>
  </si>
  <si>
    <t xml:space="preserve">  SERC_SE                 :        0.0</t>
  </si>
  <si>
    <t xml:space="preserve">  ERCOT                   :        0.0</t>
  </si>
  <si>
    <t>PJM_NE_lmp        : 60.000</t>
  </si>
  <si>
    <t>lmp_spread       : 5.000   max_lmp: 60.000 @ PJM_NE</t>
  </si>
  <si>
    <t>max_loading_pu   : 0.000 @ L_WECC_NW_WECC_SW</t>
  </si>
  <si>
    <t>near_bind_ct(&gt;=.95): 0</t>
  </si>
  <si>
    <t>top_lines        : L_WECC_NW_WECC_SW:0.00 | L_WECC_SW_SPP_MISO:0.00 | L_SPP_MISO_ERCOT:0.00</t>
  </si>
  <si>
    <t>================================================================================</t>
  </si>
  <si>
    <t>args: scenario=baseline  mc_mode=set  line=-  k_load={}  k_line={"L_PJM_NE_SERC_SE": 0.0}  k_gen={}  mc_bus={}  lmp_bus=PJM_NE  byog_mc=CSV Preset::60.0  dc_p_set=CSV Preset::2000.0  dc_p_nom=500.0</t>
  </si>
  <si>
    <t>objective        : nan</t>
  </si>
  <si>
    <t>PJM_NE_lmp        : nan</t>
  </si>
  <si>
    <t>lmp_spread       : nan   max_lmp: nan @</t>
  </si>
  <si>
    <t>max_loading_pu   : nan @</t>
  </si>
  <si>
    <t>args: scenario=baseline  mc_mode=set  line=-  k_load={}  k_line={"L_PJM_NE_SERC_SE": 0.0}  k_gen={}  mc_bus={}  lmp_bus=PJM_NE  byog_mc=CSV Preset::60.0  dc_p_set=CSV Preset::2000.0  dc_p_nom=1000.0</t>
  </si>
  <si>
    <t>Event / Commit ID</t>
  </si>
  <si>
    <t>Equilibrium state</t>
  </si>
  <si>
    <t xml:space="preserve">  Gen_SERC_SE             :    6,000.0</t>
  </si>
  <si>
    <t xml:space="preserve">  SERC_SE                 :   -1,000.0</t>
  </si>
  <si>
    <t xml:space="preserve">  Gen_PJM_NE              :    4,333.3</t>
  </si>
  <si>
    <t xml:space="preserve">  Gen_SERC_SE             :    5,666.7</t>
  </si>
  <si>
    <t xml:space="preserve">  PJM_NE                  :      666.7</t>
  </si>
  <si>
    <t xml:space="preserve">  SERC_SE                 :     -666.7</t>
  </si>
  <si>
    <t>max_loading_pu   : 1.000 @ L_PJM_NE_SERC_SE</t>
  </si>
  <si>
    <t>near_bind_ct(&gt;=.95): 1</t>
  </si>
  <si>
    <t>top_lines        : L_PJM_NE_SERC_SE:1.00 | L_SPP_MISO_ERCOT:0.03 | L_SPP_MISO_PJM_NE:0.03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</si>
  <si>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</si>
  <si>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</si>
  <si>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</si>
  <si>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</si>
  <si>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</si>
  <si>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</si>
  <si>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</si>
  <si>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</si>
  <si>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</si>
  <si>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</si>
  <si>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ASR-DASH::COMMIT::c10::baseline</t>
  </si>
  <si>
    <t>args: scenario=baseline  mc_mode=set  line=-  k_load={}  k_line={"L_SPP_MISO_PJM_NE": 0.0}  k_gen={}  mc_bus={}  lmp_bus=PJM_NE  byog_mc=CSV Preset::60.0  dc_p_set=CSV Preset::2000.0  dc_p_nom=CSV Preset::2000.0</t>
  </si>
  <si>
    <t>objective        : 1.618e+06</t>
  </si>
  <si>
    <t xml:space="preserve">  Gen_SPP_MISO            :    4,666.7</t>
  </si>
  <si>
    <t xml:space="preserve">  SPP_MISO                :      333.3</t>
  </si>
  <si>
    <t>lmp_spread       : 10.000   max_lmp: 60.000 @ PJM_NE</t>
  </si>
  <si>
    <t>max_loading_pu   : 0.133 @ L_PJM_NE_SERC_SE</t>
  </si>
  <si>
    <t>top_lines        : L_SPP_MISO_ERCOT:0.07 | L_SPP_MISO_PJM_NE:nan | L_PJM_NE_SERC_SE:0.13</t>
  </si>
  <si>
    <t xml:space="preserve">  Gen_DC_PJM_NE           :    3,000.0</t>
  </si>
  <si>
    <t xml:space="preserve">  PJM_NE                  :    1,000.0</t>
  </si>
  <si>
    <t>lmp_spread       : 0.000   max_lmp: 60.000 @ WECC_NW</t>
  </si>
  <si>
    <t>max_loading_pu   : 0.150 @ L_PJM_NE_SERC_SE</t>
  </si>
  <si>
    <t>top_lines        : L_PJM_NE_SERC_SE:0.15 | L_SPP_MISO_ERCOT:0.05 | L_SPP_MISO_PJM_NE:0.05</t>
  </si>
  <si>
    <t xml:space="preserve">  Gen_PJM_NE              :    4,000.0</t>
  </si>
  <si>
    <t>Event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</si>
  <si>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</si>
  <si>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</si>
  <si>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</si>
  <si>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</si>
  <si>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</si>
  <si>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</si>
  <si>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</si>
  <si>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</si>
  <si>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</si>
  <si>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</si>
  <si>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Commit ID</t>
  </si>
  <si>
    <t>Event Conditions</t>
  </si>
  <si>
    <t>Event 0</t>
  </si>
  <si>
    <t>Scenario</t>
  </si>
  <si>
    <t>args: scenario=baseline  mc_mode=set  line=-  k_load={}  k_line={}  k_gen={}  mc_bus={}  lmp_bus=PJM_NE  byog_mc=CSV Preset::50.0  dc_p_set=CSV Preset::2000.0  dc_p_nom=CSV Preset::2000.0</t>
  </si>
  <si>
    <t>objective        : 1.595e+06</t>
  </si>
  <si>
    <t>total_load_mw     : 31,000.0</t>
  </si>
  <si>
    <t>args: scenario=baseline  mc_mode=set  line=-  k_load={}  k_line={"L_PJM_NE_SERC_SE": 0.1}  k_gen={}  mc_bus={}  lmp_bus=PJM_NE  byog_mc=CSV Preset::50.0  dc_p_set=CSV Preset::2000.0  dc_p_nom=CSV Preset::2000.0</t>
  </si>
  <si>
    <t>objective        : 1.597e+06</t>
  </si>
  <si>
    <t>args: scenario=baseline  mc_mode=set  line=-  k_load={}  k_line={"L_PJM_NE_SERC_SE": 0.1}  k_gen={}  mc_bus={}  lmp_bus=PJM_NE  byog_mc=CSV Preset::50.0  dc_p_set=1000.0  dc_p_nom=CSV Preset::2000.0</t>
  </si>
  <si>
    <t>objective        : 1.537e+06</t>
  </si>
  <si>
    <t xml:space="preserve">  Gen_PJM_NE              :    3,333.3</t>
  </si>
  <si>
    <t>C12</t>
  </si>
  <si>
    <t>C14</t>
  </si>
  <si>
    <t>args: scenario=baseline  mc_mode=set  line=-  k_load={}  k_line={"L_PJM_NE_SERC_SE": 0.1}  k_gen={}  mc_bus={}  lmp_bus=PJM_NE  byog_mc=CSV Preset::50.0  dc_p_set=CSV Preset::2000.0  dc_p_nom=3000.0</t>
  </si>
  <si>
    <t>objective        : 1.587e+06</t>
  </si>
  <si>
    <t>Start hr</t>
  </si>
  <si>
    <t>End hr</t>
  </si>
  <si>
    <t>Duration</t>
  </si>
  <si>
    <t>E1</t>
  </si>
  <si>
    <t>2 days</t>
  </si>
  <si>
    <t>E2</t>
  </si>
  <si>
    <t>4 days</t>
  </si>
  <si>
    <t>E3</t>
  </si>
  <si>
    <t>E4</t>
  </si>
  <si>
    <t>5 days</t>
  </si>
  <si>
    <t>E5</t>
  </si>
  <si>
    <t>E6</t>
  </si>
  <si>
    <t>E7</t>
  </si>
  <si>
    <t>E8</t>
  </si>
  <si>
    <t>E9</t>
  </si>
  <si>
    <t>E10</t>
  </si>
  <si>
    <t>E11</t>
  </si>
  <si>
    <t>E12</t>
  </si>
  <si>
    <t>Artifact</t>
  </si>
  <si>
    <t>Number</t>
  </si>
  <si>
    <t>Events</t>
  </si>
  <si>
    <t>Table</t>
  </si>
  <si>
    <t>Name Suffix</t>
  </si>
  <si>
    <t>EquilibriumState</t>
  </si>
  <si>
    <t>Fig</t>
  </si>
  <si>
    <t>Event 11</t>
  </si>
  <si>
    <t>Event 12</t>
  </si>
  <si>
    <t>Purpose</t>
  </si>
  <si>
    <t>The workbook defines:</t>
  </si>
  <si>
    <t>Active and inactive research scenarios.</t>
  </si>
  <si>
    <t>Events associated with each scenario.</t>
  </si>
  <si>
    <t>Event start/end hours used in chronology plots.</t>
  </si>
  <si>
    <t>Figure and table definitions.</t>
  </si>
  <si>
    <t>Figure/table numbering and output filename suffixes.</t>
  </si>
  <si>
    <t>Event Conditions used to describe and plot experiment drivers.</t>
  </si>
  <si>
    <t>Scenario Definition</t>
  </si>
  <si>
    <t>Start each experiment group with:</t>
  </si>
  <si>
    <t>followed by the Scenario title.</t>
  </si>
  <si>
    <t>Example:</t>
  </si>
  <si>
    <t>Scenario | DC Load Flexibility | BYOG dispatch offset L_PJM_NE_SERC_SE Transmission Congestion</t>
  </si>
  <si>
    <t>Temporarily Disable a Scenario</t>
  </si>
  <si>
    <t>Prefix the Scenario tag with:</t>
  </si>
  <si>
    <t>[NA]</t>
  </si>
  <si>
    <t>[NA] Scenario</t>
  </si>
  <si>
    <t>Stress Report Source</t>
  </si>
  <si>
    <t>devnet_stress.py &gt; o/p: | ~\devnetDC-sld\stress_out\:index.html</t>
  </si>
  <si>
    <t>Different Scenarios may reference different stress reports.</t>
  </si>
  <si>
    <t>Event Definition</t>
  </si>
  <si>
    <t>Each experiment is identified by:</t>
  </si>
  <si>
    <t>Event N</t>
  </si>
  <si>
    <t>Each Event contains:</t>
  </si>
  <si>
    <t>Commit ID.</t>
  </si>
  <si>
    <t>Event Conditions.</t>
  </si>
  <si>
    <t>Failure/mitigation parameters.</t>
  </si>
  <si>
    <t>Start hour.</t>
  </si>
  <si>
    <t>End hour.</t>
  </si>
  <si>
    <t>DevNet asset parameters.</t>
  </si>
  <si>
    <t>Changing the Commit ID changes the solver result represented by that Event without requiring Python changes.</t>
  </si>
  <si>
    <t>Event Hours</t>
  </si>
  <si>
    <t>Keep event windows:</t>
  </si>
  <si>
    <t>Non-overlapping.</t>
  </si>
  <si>
    <t>Clearly separated visually.</t>
  </si>
  <si>
    <t>Preferably concentrated in the earlier portion of the 8760-hour horizon.</t>
  </si>
  <si>
    <t>Away from right-side legend/annotation space.</t>
  </si>
  <si>
    <t>devnetDC_dsg</t>
  </si>
  <si>
    <t>Event Conditions describe the physical driver or mitigation applied during an Event.</t>
  </si>
  <si>
    <t>Examples:</t>
  </si>
  <si>
    <t>Neighbor SERC_SE failure: 20%</t>
  </si>
  <si>
    <t>Transmission Line: L_PJM_NE_SERC_SE failure: 100%</t>
  </si>
  <si>
    <t>L_PJM_NE_SERC_SE congestion: 90%</t>
  </si>
  <si>
    <t>DC load reduction: 50%</t>
  </si>
  <si>
    <t>DC BYOG FTM: 50%</t>
  </si>
  <si>
    <t>Current visual convention:</t>
  </si>
  <si>
    <t>Failure / outage / constraint / deration / congestion → Dark Red</t>
  </si>
  <si>
    <t>DC mitigation / load flexibility / BYOG              → Blue</t>
  </si>
  <si>
    <t>Use clear narrative Event Condition names so the generic plotting logic can classify them correctly.</t>
  </si>
  <si>
    <t>Publication Artifact Definition</t>
  </si>
  <si>
    <t>Each Scenario may define one or more publication artifacts.</t>
  </si>
  <si>
    <t>Required artifact metadata:</t>
  </si>
  <si>
    <t>Artifact Type</t>
  </si>
  <si>
    <t>Artifact Number</t>
  </si>
  <si>
    <t>Events 10,11,12 | Fig   | 8 | DCLoadFlexBYOGOffset_L_PJM_NE_SERC_SE_TransmissionCongestion</t>
  </si>
  <si>
    <t>Events 11,12    | Table | 8 | DCLoadFlexBYOGOffset_L_PJM_NE_SERC_SE_TransmissionCongestion</t>
  </si>
  <si>
    <t>The XLSX—not Python—determines the publication artifact identity.</t>
  </si>
  <si>
    <t>Event Grouping</t>
  </si>
  <si>
    <t>The Events field determines which Events belong to a Figure or Table.</t>
  </si>
  <si>
    <t>Events 6,7,8</t>
  </si>
  <si>
    <t>The chronology renderer plots exactly those Events.</t>
  </si>
  <si>
    <t>Figure/Table Number</t>
  </si>
  <si>
    <t>The Artifact Number directly determines the publication number.</t>
  </si>
  <si>
    <t>Fig | 8</t>
  </si>
  <si>
    <t>produces:</t>
  </si>
  <si>
    <t>Figure 8</t>
  </si>
  <si>
    <t>Likewise:</t>
  </si>
  <si>
    <t>Table | 8</t>
  </si>
  <si>
    <t>Table 8</t>
  </si>
  <si>
    <t>Output Filename</t>
  </si>
  <si>
    <t>The output filename is constructed from:</t>
  </si>
  <si>
    <t>Artifact Type + Artifact Number + Name Suffix</t>
  </si>
  <si>
    <t>DCLoadFlexBYOGOffset_L_PJM_NE_SERC_SE_TransmissionCongestion</t>
  </si>
  <si>
    <t>fig8_DCLoadFlexBYOGOffset_L_PJM_NE_SERC_SE_TransmissionCongestion.png</t>
  </si>
  <si>
    <t>Outputs are written to:</t>
  </si>
  <si>
    <t>./pub_figs/</t>
  </si>
  <si>
    <t>Publication Figure Structure</t>
  </si>
  <si>
    <t>Event chronology figures currently contain four aligned panels:</t>
  </si>
  <si>
    <t>Objective / System Feasibility</t>
  </si>
  <si>
    <t>Total System Load</t>
  </si>
  <si>
    <t>DC p_set / DC BYOG p_nom</t>
  </si>
  <si>
    <t>Event Driver (%)</t>
  </si>
  <si>
    <t>The Event Driver panel shows the experiment input; the upper panels show the resulting system response.</t>
  </si>
  <si>
    <t>System infeasible</t>
  </si>
  <si>
    <t>in the Objective legend.</t>
  </si>
  <si>
    <t>Publication Tables</t>
  </si>
  <si>
    <t>Publication tables report the solved operating state, including:</t>
  </si>
  <si>
    <t>Bus.</t>
  </si>
  <si>
    <t>Generator marginal cost.</t>
  </si>
  <si>
    <t>Net import/export.</t>
  </si>
  <si>
    <t>Running Publication Generation</t>
  </si>
  <si>
    <t>11) Plot: Journal publication figures (devnet_pub_figs.py)</t>
  </si>
  <si>
    <t>0) All publication figures and tables</t>
  </si>
  <si>
    <t>1) Figure 3 — ...</t>
  </si>
  <si>
    <t>2) Table 4 — ...</t>
  </si>
  <si>
    <t>...</t>
  </si>
  <si>
    <t>Multiple artifacts may be selected using comma-separated menu numbers.</t>
  </si>
  <si>
    <t>Recommended Workflow</t>
  </si>
  <si>
    <t>Configure Scenario</t>
  </si>
  <si>
    <t xml:space="preserve">      ↓</t>
  </si>
  <si>
    <t>Define Event(s)</t>
  </si>
  <si>
    <t>Run devnet_stress.py</t>
  </si>
  <si>
    <t>Commit required OPF results</t>
  </si>
  <si>
    <t>Enter Commit IDs in devnetDC_sysdsg.xlsx</t>
  </si>
  <si>
    <t>Define Event start/end hours</t>
  </si>
  <si>
    <t>Define Fig/Table artifact + number + event grouping + filename suffix</t>
  </si>
  <si>
    <t>Run devnet_pub_figs.py</t>
  </si>
  <si>
    <t>Review ./pub_figs/</t>
  </si>
  <si>
    <t>Design Principle</t>
  </si>
  <si>
    <t>Keep:</t>
  </si>
  <si>
    <t>devnetDC_sysdsg.xlsx = experiment + publication definition</t>
  </si>
  <si>
    <t>devnet_pub_figs.py    = generic parser + renderer</t>
  </si>
  <si>
    <t>index.html            = committed OPF results</t>
  </si>
  <si>
    <t>devnetDC_sysdsg.xlsx is the experiment-design and publication-artifact driver for devnet_pub_figs.py.</t>
  </si>
  <si>
    <t>UsageGuide — devnetDC_sysdsg.xlsx</t>
  </si>
  <si>
    <t>Commit IDs linking events to solved devnet_stress.py results.</t>
  </si>
  <si>
    <t>Scenario-specific stress_out/index.html source paths.</t>
  </si>
  <si>
    <t>Each active Scenario specifies the relative path to the devnet_stress.py result:</t>
  </si>
  <si>
    <t>The Commit IDs referenced by that Scenario are resolved against this index.html.</t>
  </si>
  <si>
    <t>Datacenter p_set.</t>
  </si>
  <si>
    <t>Datacenter BYOG p_nom and marginal cost.</t>
  </si>
  <si>
    <t>The Commit ID connects an XLSX Event to its solved OPF result in the Scenario's index.html.</t>
  </si>
  <si>
    <t>Start hour and End hour determine where the Event appears on the 8760-hour publication chronology.</t>
  </si>
  <si>
    <t>The EventHours worksheet may be used as a working cache. devnet_pub_figs.py reads publication definitions only from:</t>
  </si>
  <si>
    <r>
      <t xml:space="preserve">Percentage-valued Event Conditions are automatically available to the bottom </t>
    </r>
    <r>
      <rPr>
        <b/>
        <sz val="12"/>
        <color theme="1"/>
        <rFont val="Aptos"/>
        <family val="2"/>
      </rPr>
      <t>Event Driver (%)</t>
    </r>
    <r>
      <rPr>
        <sz val="12"/>
        <color theme="1"/>
        <rFont val="Aptos"/>
        <family val="2"/>
      </rPr>
      <t xml:space="preserve"> chronology.</t>
    </r>
  </si>
  <si>
    <r>
      <t xml:space="preserve">For Tables containing multiple Events, the </t>
    </r>
    <r>
      <rPr>
        <b/>
        <sz val="12"/>
        <color theme="1"/>
        <rFont val="Aptos"/>
        <family val="2"/>
      </rPr>
      <t>final Event in the grouping</t>
    </r>
    <r>
      <rPr>
        <sz val="12"/>
        <color theme="1"/>
        <rFont val="Aptos"/>
        <family val="2"/>
      </rPr>
      <t xml:space="preserve"> is used as the solved operating-state snapshot.</t>
    </r>
  </si>
  <si>
    <t>No corresponding Figure/Table number should be hard-coded in devnet_pub_figs.py.</t>
  </si>
  <si>
    <r>
      <t xml:space="preserve">Infeasible Event intervals are shown as </t>
    </r>
    <r>
      <rPr>
        <b/>
        <sz val="12"/>
        <color theme="1"/>
        <rFont val="Aptos"/>
        <family val="2"/>
      </rPr>
      <t>dark-red bars</t>
    </r>
    <r>
      <rPr>
        <sz val="12"/>
        <color theme="1"/>
        <rFont val="Aptos"/>
        <family val="2"/>
      </rPr>
      <t xml:space="preserve"> with:</t>
    </r>
  </si>
  <si>
    <t>Generation p_nom.</t>
  </si>
  <si>
    <t>Load p_set.</t>
  </si>
  <si>
    <t>Datacenter p_nom, marginal cost and p_set.</t>
  </si>
  <si>
    <t>PJM_NE and SERC_SE are highlighted as the critical neighboring buses in the current DevNet study.</t>
  </si>
  <si>
    <t>From devnet_menu.py select:</t>
  </si>
  <si>
    <r>
      <t xml:space="preserve">The artifact menu is generated dynamically from </t>
    </r>
    <r>
      <rPr>
        <b/>
        <sz val="12"/>
        <color theme="1"/>
        <rFont val="Aptos"/>
        <family val="2"/>
      </rPr>
      <t>active XLSX Scenario/Artifact definitions</t>
    </r>
    <r>
      <rPr>
        <sz val="12"/>
        <color theme="1"/>
        <rFont val="Aptos"/>
        <family val="2"/>
      </rPr>
      <t>.</t>
    </r>
  </si>
  <si>
    <r>
      <t xml:space="preserve">A Scenario without a defined Fig or Table artifact does </t>
    </r>
    <r>
      <rPr>
        <b/>
        <sz val="12"/>
        <color theme="1"/>
        <rFont val="Aptos"/>
        <family val="2"/>
      </rPr>
      <t>not</t>
    </r>
    <r>
      <rPr>
        <sz val="12"/>
        <color theme="1"/>
        <rFont val="Aptos"/>
        <family val="2"/>
      </rPr>
      <t xml:space="preserve"> appear in this menu.</t>
    </r>
  </si>
  <si>
    <t>New scenarios, Events, Figures and Tables should normally be added through the XLSX without introducing Figure-number or Scenario-specific hard-coding into devnet_pub_figs.py.</t>
  </si>
  <si>
    <t>Example</t>
  </si>
  <si>
    <t>The Scenario title is used automatically in:</t>
  </si>
  <si>
    <t>Publication Figure/Table titles.</t>
  </si>
  <si>
    <t>The devnet_pub_figs.py artifact-selection menu.</t>
  </si>
  <si>
    <t>Requirements for Scenario Processing</t>
  </si>
  <si>
    <t>For a Scenario to generate publication artifacts:</t>
  </si>
  <si>
    <r>
      <t xml:space="preserve">The Scenario must </t>
    </r>
    <r>
      <rPr>
        <b/>
        <sz val="12"/>
        <color theme="1"/>
        <rFont val="Aptos"/>
        <family val="2"/>
      </rPr>
      <t>not</t>
    </r>
    <r>
      <rPr>
        <sz val="12"/>
        <color theme="1"/>
        <rFont val="Aptos"/>
        <family val="2"/>
      </rPr>
      <t xml:space="preserve"> have the [NA] prefix.</t>
    </r>
  </si>
  <si>
    <t>The Scenario must define a valid devnet_stress.py &gt; o/p: path to the applicable index.html.</t>
  </si>
  <si>
    <t>At least one publication Artifact must be completely defined under the Scenario.</t>
  </si>
  <si>
    <t>Each Artifact requires:</t>
  </si>
  <si>
    <t>Event grouping</t>
  </si>
  <si>
    <r>
      <t>Artifact Type</t>
    </r>
    <r>
      <rPr>
        <sz val="12"/>
        <color theme="1"/>
        <rFont val="Aptos"/>
        <family val="2"/>
      </rPr>
      <t xml:space="preserve"> — Fig or Table</t>
    </r>
  </si>
  <si>
    <t>If the Artifact Type, Artifact Number, Event grouping, Name Suffix, or Scenario report path is missing, that Artifact is skipped.</t>
  </si>
  <si>
    <t>A Scenario with no complete Fig or Table Artifact does not appear in the devnet_pub_figs.py publication-artifact menu.</t>
  </si>
  <si>
    <t>Events referenced by an Artifact must exist.</t>
  </si>
  <si>
    <r>
      <t xml:space="preserve">Referenced Events must contain valid </t>
    </r>
    <r>
      <rPr>
        <b/>
        <sz val="12"/>
        <color theme="1"/>
        <rFont val="Aptos"/>
        <family val="2"/>
      </rPr>
      <t>Commit IDs</t>
    </r>
    <r>
      <rPr>
        <sz val="12"/>
        <color theme="1"/>
        <rFont val="Aptos"/>
        <family val="2"/>
      </rPr>
      <t xml:space="preserve"> available in the Scenario-specific index.html.</t>
    </r>
  </si>
  <si>
    <t>devnet_pub_figs.py ignores the Scenario, its Events, and its publication artifacts.</t>
  </si>
  <si>
    <t>Remove [NA] to make the Scenario eligible for processing again, provided its required Artifact definitions are complete.</t>
  </si>
  <si>
    <t>Fig 8</t>
  </si>
  <si>
    <t>Event Driver Plot — Line Color Convention</t>
  </si>
  <si>
    <r>
      <t xml:space="preserve">The </t>
    </r>
    <r>
      <rPr>
        <b/>
        <sz val="12"/>
        <color theme="1"/>
        <rFont val="Aptos"/>
        <family val="2"/>
      </rPr>
      <t>Event Driver (%)</t>
    </r>
    <r>
      <rPr>
        <sz val="12"/>
        <color theme="1"/>
        <rFont val="Aptos"/>
        <family val="2"/>
      </rPr>
      <t xml:space="preserve"> panel uses the Event Condition text to classify disturbance and mitigation traces automatically.</t>
    </r>
  </si>
  <si>
    <t>Dark Red — Grid/System Disturbance</t>
  </si>
  <si>
    <r>
      <t>Dark Red</t>
    </r>
    <r>
      <rPr>
        <sz val="12"/>
        <color theme="1"/>
        <rFont val="Aptos"/>
        <family val="2"/>
      </rPr>
      <t xml:space="preserve"> identifies adverse grid or system conditions.</t>
    </r>
  </si>
  <si>
    <r>
      <t xml:space="preserve">Event Condition labels containing any of the following are plotted in </t>
    </r>
    <r>
      <rPr>
        <b/>
        <sz val="12"/>
        <color theme="1"/>
        <rFont val="Aptos"/>
        <family val="2"/>
      </rPr>
      <t>Dark Red</t>
    </r>
    <r>
      <rPr>
        <sz val="12"/>
        <color theme="1"/>
        <rFont val="Aptos"/>
        <family val="2"/>
      </rPr>
      <t>:</t>
    </r>
  </si>
  <si>
    <t>failure</t>
  </si>
  <si>
    <t>outage</t>
  </si>
  <si>
    <t>constraint</t>
  </si>
  <si>
    <t>deration</t>
  </si>
  <si>
    <t>congestion</t>
  </si>
  <si>
    <t>Neighbor SERC_SE failure</t>
  </si>
  <si>
    <t>L_PJM_NE_SERC_SE congestion</t>
  </si>
  <si>
    <t>Transmission Line: L_PJM_NE_SERC_SE failure</t>
  </si>
  <si>
    <t>Blue — Datacenter Mitigation / Support</t>
  </si>
  <si>
    <r>
      <t>Blue</t>
    </r>
    <r>
      <rPr>
        <sz val="12"/>
        <color theme="1"/>
        <rFont val="Aptos"/>
        <family val="2"/>
      </rPr>
      <t xml:space="preserve"> identifies datacenter mitigation or system-support actions.</t>
    </r>
  </si>
  <si>
    <r>
      <t xml:space="preserve">Event Conditions not classified as adverse grid/system conditions are currently plotted in </t>
    </r>
    <r>
      <rPr>
        <b/>
        <sz val="12"/>
        <color theme="1"/>
        <rFont val="Aptos"/>
        <family val="2"/>
      </rPr>
      <t>Blue</t>
    </r>
    <r>
      <rPr>
        <sz val="12"/>
        <color theme="1"/>
        <rFont val="Aptos"/>
        <family val="2"/>
      </rPr>
      <t>.</t>
    </r>
  </si>
  <si>
    <t>DC load reduction</t>
  </si>
  <si>
    <t>DC BYOG FTM</t>
  </si>
  <si>
    <t>Event Condition Naming</t>
  </si>
  <si>
    <r>
      <t xml:space="preserve">Keep </t>
    </r>
    <r>
      <rPr>
        <b/>
        <sz val="12"/>
        <color theme="1"/>
        <rFont val="Aptos"/>
        <family val="2"/>
      </rPr>
      <t>Event Condition terminology consistent</t>
    </r>
    <r>
      <rPr>
        <sz val="12"/>
        <color theme="1"/>
        <rFont val="Aptos"/>
        <family val="2"/>
      </rPr>
      <t xml:space="preserve"> across scenarios.</t>
    </r>
  </si>
  <si>
    <t>The Event Condition text is now part of the generic plotting interface used by devnet_pub_figs.py to determine:</t>
  </si>
  <si>
    <t>Event-driver labels.</t>
  </si>
  <si>
    <t>Event-driver line classification.</t>
  </si>
  <si>
    <t>Dark Red versus Blue rendering.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</si>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</sst>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000000"/>
      <name val="Arial Unicode MS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3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3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9" fontId="0" fillId="3" borderId="0" xfId="0" applyNumberForma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2" fillId="2" borderId="0" xfId="0" applyFont="1" applyFill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9" fontId="0" fillId="0" borderId="0" xfId="0" applyNumberFormat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 wrapText="1"/>
    </xf>
    <xf numFmtId="3" fontId="0" fillId="2" borderId="0" xfId="0" applyNumberFormat="1" applyFill="1" applyAlignment="1">
      <alignment vertical="center" shrinkToFit="1"/>
    </xf>
    <xf numFmtId="0" fontId="0" fillId="0" borderId="0" xfId="0" applyAlignment="1">
      <alignment vertical="center" shrinkToFit="1"/>
    </xf>
    <xf numFmtId="0" fontId="0" fillId="2" borderId="0" xfId="0" applyFill="1" applyAlignment="1">
      <alignment vertical="center" shrinkToFi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quotePrefix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42A9-8784-4A9C-84C0-78738A0FCD4A}">
  <dimension ref="B2:C218"/>
  <sheetViews>
    <sheetView workbookViewId="0">
      <selection activeCell="S101" sqref="S101"/>
    </sheetView>
  </sheetViews>
  <sheetFormatPr defaultRowHeight="14.4" x14ac:dyDescent="0.3"/>
  <sheetData>
    <row r="2" spans="2:2" ht="15.6" x14ac:dyDescent="0.3">
      <c r="B2" s="34" t="s">
        <v>282</v>
      </c>
    </row>
    <row r="3" spans="2:2" ht="15.6" x14ac:dyDescent="0.3">
      <c r="B3" s="34" t="s">
        <v>168</v>
      </c>
    </row>
    <row r="4" spans="2:2" ht="15.6" x14ac:dyDescent="0.3">
      <c r="B4" s="35" t="s">
        <v>281</v>
      </c>
    </row>
    <row r="5" spans="2:2" ht="15.6" x14ac:dyDescent="0.3">
      <c r="B5" s="35" t="s">
        <v>169</v>
      </c>
    </row>
    <row r="6" spans="2:2" ht="15.6" x14ac:dyDescent="0.3">
      <c r="B6" s="36" t="s">
        <v>170</v>
      </c>
    </row>
    <row r="7" spans="2:2" ht="15.6" x14ac:dyDescent="0.3">
      <c r="B7" s="36" t="s">
        <v>171</v>
      </c>
    </row>
    <row r="8" spans="2:2" ht="15.6" x14ac:dyDescent="0.3">
      <c r="B8" s="36" t="s">
        <v>283</v>
      </c>
    </row>
    <row r="9" spans="2:2" ht="15.6" x14ac:dyDescent="0.3">
      <c r="B9" s="36" t="s">
        <v>172</v>
      </c>
    </row>
    <row r="10" spans="2:2" ht="15.6" x14ac:dyDescent="0.3">
      <c r="B10" s="36" t="s">
        <v>173</v>
      </c>
    </row>
    <row r="11" spans="2:2" ht="15.6" x14ac:dyDescent="0.3">
      <c r="B11" s="36" t="s">
        <v>174</v>
      </c>
    </row>
    <row r="12" spans="2:2" ht="15.6" x14ac:dyDescent="0.3">
      <c r="B12" s="36" t="s">
        <v>284</v>
      </c>
    </row>
    <row r="13" spans="2:2" ht="15.6" x14ac:dyDescent="0.3">
      <c r="B13" s="36" t="s">
        <v>175</v>
      </c>
    </row>
    <row r="14" spans="2:2" ht="15.6" x14ac:dyDescent="0.3">
      <c r="B14" s="35"/>
    </row>
    <row r="15" spans="2:2" ht="15.6" x14ac:dyDescent="0.3">
      <c r="B15" s="34" t="s">
        <v>176</v>
      </c>
    </row>
    <row r="16" spans="2:2" ht="15.6" x14ac:dyDescent="0.3">
      <c r="B16" s="35" t="s">
        <v>177</v>
      </c>
    </row>
    <row r="17" spans="2:2" ht="15.6" x14ac:dyDescent="0.3">
      <c r="B17" s="34" t="s">
        <v>128</v>
      </c>
    </row>
    <row r="18" spans="2:2" ht="15.6" x14ac:dyDescent="0.3">
      <c r="B18" s="35" t="s">
        <v>178</v>
      </c>
    </row>
    <row r="19" spans="2:2" ht="15.6" x14ac:dyDescent="0.3">
      <c r="B19" s="34" t="s">
        <v>304</v>
      </c>
    </row>
    <row r="20" spans="2:2" ht="15.6" x14ac:dyDescent="0.3">
      <c r="B20" s="34" t="s">
        <v>180</v>
      </c>
    </row>
    <row r="21" spans="2:2" ht="15.6" x14ac:dyDescent="0.3">
      <c r="B21" s="35" t="s">
        <v>305</v>
      </c>
    </row>
    <row r="22" spans="2:2" ht="15.6" x14ac:dyDescent="0.3">
      <c r="B22" s="36" t="s">
        <v>306</v>
      </c>
    </row>
    <row r="23" spans="2:2" ht="15.6" x14ac:dyDescent="0.3">
      <c r="B23" s="36" t="s">
        <v>307</v>
      </c>
    </row>
    <row r="24" spans="2:2" ht="15.6" x14ac:dyDescent="0.3">
      <c r="B24" s="34" t="s">
        <v>308</v>
      </c>
    </row>
    <row r="25" spans="2:2" ht="15.6" x14ac:dyDescent="0.3">
      <c r="B25" s="35" t="s">
        <v>309</v>
      </c>
    </row>
    <row r="26" spans="2:2" ht="15.6" x14ac:dyDescent="0.3">
      <c r="B26" s="36" t="s">
        <v>310</v>
      </c>
    </row>
    <row r="27" spans="2:2" ht="15.6" x14ac:dyDescent="0.3">
      <c r="B27" s="36" t="s">
        <v>311</v>
      </c>
    </row>
    <row r="28" spans="2:2" ht="15.6" x14ac:dyDescent="0.3">
      <c r="B28" s="36" t="s">
        <v>312</v>
      </c>
    </row>
    <row r="29" spans="2:2" ht="15.6" x14ac:dyDescent="0.3">
      <c r="B29" s="36" t="s">
        <v>313</v>
      </c>
    </row>
    <row r="30" spans="2:2" ht="15.6" x14ac:dyDescent="0.3">
      <c r="B30" s="37" t="s">
        <v>314</v>
      </c>
    </row>
    <row r="31" spans="2:2" ht="15.6" x14ac:dyDescent="0.3">
      <c r="B31" s="37" t="s">
        <v>315</v>
      </c>
    </row>
    <row r="32" spans="2:2" ht="15.6" x14ac:dyDescent="0.3">
      <c r="B32" s="37" t="s">
        <v>221</v>
      </c>
    </row>
    <row r="33" spans="2:2" ht="15.6" x14ac:dyDescent="0.3">
      <c r="B33" s="37" t="s">
        <v>163</v>
      </c>
    </row>
    <row r="34" spans="2:2" ht="15.6" x14ac:dyDescent="0.3">
      <c r="B34" s="36" t="s">
        <v>316</v>
      </c>
    </row>
    <row r="35" spans="2:2" ht="15.6" x14ac:dyDescent="0.3">
      <c r="B35" s="36" t="s">
        <v>317</v>
      </c>
    </row>
    <row r="36" spans="2:2" ht="15.6" x14ac:dyDescent="0.3">
      <c r="B36" s="36" t="s">
        <v>318</v>
      </c>
    </row>
    <row r="37" spans="2:2" ht="15.6" x14ac:dyDescent="0.3">
      <c r="B37" s="36" t="s">
        <v>319</v>
      </c>
    </row>
    <row r="38" spans="2:2" ht="15.6" x14ac:dyDescent="0.3">
      <c r="B38" s="34" t="s">
        <v>181</v>
      </c>
    </row>
    <row r="39" spans="2:2" ht="15.6" x14ac:dyDescent="0.3">
      <c r="B39" s="35" t="s">
        <v>182</v>
      </c>
    </row>
    <row r="40" spans="2:2" ht="15.6" x14ac:dyDescent="0.3">
      <c r="B40" s="34" t="s">
        <v>183</v>
      </c>
    </row>
    <row r="41" spans="2:2" ht="15.6" x14ac:dyDescent="0.3">
      <c r="B41" s="35" t="s">
        <v>179</v>
      </c>
    </row>
    <row r="42" spans="2:2" ht="15.6" x14ac:dyDescent="0.3">
      <c r="B42" s="34" t="s">
        <v>184</v>
      </c>
    </row>
    <row r="43" spans="2:2" ht="15.6" x14ac:dyDescent="0.3">
      <c r="B43" s="35" t="s">
        <v>320</v>
      </c>
    </row>
    <row r="44" spans="2:2" ht="15.6" x14ac:dyDescent="0.3">
      <c r="B44" s="35" t="s">
        <v>321</v>
      </c>
    </row>
    <row r="45" spans="2:2" ht="15.6" x14ac:dyDescent="0.3">
      <c r="B45" s="35"/>
    </row>
    <row r="46" spans="2:2" ht="15.6" x14ac:dyDescent="0.3">
      <c r="B46" s="34" t="s">
        <v>185</v>
      </c>
    </row>
    <row r="47" spans="2:2" ht="15.6" x14ac:dyDescent="0.3">
      <c r="B47" s="35" t="s">
        <v>285</v>
      </c>
    </row>
    <row r="48" spans="2:2" ht="15.6" x14ac:dyDescent="0.3">
      <c r="B48" s="35" t="s">
        <v>186</v>
      </c>
    </row>
    <row r="49" spans="2:2" ht="15.6" x14ac:dyDescent="0.3">
      <c r="B49" s="35" t="s">
        <v>286</v>
      </c>
    </row>
    <row r="50" spans="2:2" ht="15.6" x14ac:dyDescent="0.3">
      <c r="B50" s="35" t="s">
        <v>187</v>
      </c>
    </row>
    <row r="51" spans="2:2" ht="15.6" x14ac:dyDescent="0.3">
      <c r="B51" s="35"/>
    </row>
    <row r="52" spans="2:2" ht="15.6" x14ac:dyDescent="0.3">
      <c r="B52" s="34" t="s">
        <v>188</v>
      </c>
    </row>
    <row r="53" spans="2:2" ht="15.6" x14ac:dyDescent="0.3">
      <c r="B53" s="35" t="s">
        <v>189</v>
      </c>
    </row>
    <row r="54" spans="2:2" ht="15.6" x14ac:dyDescent="0.3">
      <c r="B54" s="35" t="s">
        <v>190</v>
      </c>
    </row>
    <row r="55" spans="2:2" ht="15.6" x14ac:dyDescent="0.3">
      <c r="B55" s="35" t="s">
        <v>179</v>
      </c>
    </row>
    <row r="56" spans="2:2" ht="15.6" x14ac:dyDescent="0.3">
      <c r="B56" s="35" t="s">
        <v>124</v>
      </c>
    </row>
    <row r="57" spans="2:2" ht="15.6" x14ac:dyDescent="0.3">
      <c r="B57" s="35" t="s">
        <v>191</v>
      </c>
    </row>
    <row r="58" spans="2:2" ht="15.6" x14ac:dyDescent="0.3">
      <c r="B58" s="36" t="s">
        <v>192</v>
      </c>
    </row>
    <row r="59" spans="2:2" ht="15.6" x14ac:dyDescent="0.3">
      <c r="B59" s="36" t="s">
        <v>193</v>
      </c>
    </row>
    <row r="60" spans="2:2" ht="15.6" x14ac:dyDescent="0.3">
      <c r="B60" s="36" t="s">
        <v>194</v>
      </c>
    </row>
    <row r="61" spans="2:2" ht="15.6" x14ac:dyDescent="0.3">
      <c r="B61" s="36" t="s">
        <v>195</v>
      </c>
    </row>
    <row r="62" spans="2:2" ht="15.6" x14ac:dyDescent="0.3">
      <c r="B62" s="36" t="s">
        <v>196</v>
      </c>
    </row>
    <row r="63" spans="2:2" ht="15.6" x14ac:dyDescent="0.3">
      <c r="B63" s="36" t="s">
        <v>197</v>
      </c>
    </row>
    <row r="64" spans="2:2" ht="15.6" x14ac:dyDescent="0.3">
      <c r="B64" s="36" t="s">
        <v>287</v>
      </c>
    </row>
    <row r="65" spans="2:2" ht="15.6" x14ac:dyDescent="0.3">
      <c r="B65" s="36" t="s">
        <v>288</v>
      </c>
    </row>
    <row r="66" spans="2:2" ht="15.6" x14ac:dyDescent="0.3">
      <c r="B66" s="34" t="s">
        <v>125</v>
      </c>
    </row>
    <row r="67" spans="2:2" ht="15.6" x14ac:dyDescent="0.3">
      <c r="B67" s="35" t="s">
        <v>289</v>
      </c>
    </row>
    <row r="68" spans="2:2" ht="15.6" x14ac:dyDescent="0.3">
      <c r="B68" s="35" t="s">
        <v>179</v>
      </c>
    </row>
    <row r="69" spans="2:2" ht="15.6" x14ac:dyDescent="0.3">
      <c r="B69" s="35" t="s">
        <v>138</v>
      </c>
    </row>
    <row r="70" spans="2:2" ht="15.6" x14ac:dyDescent="0.3">
      <c r="B70" s="35" t="s">
        <v>198</v>
      </c>
    </row>
    <row r="71" spans="2:2" ht="15.6" x14ac:dyDescent="0.3">
      <c r="B71" s="34" t="s">
        <v>199</v>
      </c>
    </row>
    <row r="72" spans="2:2" ht="15.6" x14ac:dyDescent="0.3">
      <c r="B72" s="35" t="s">
        <v>290</v>
      </c>
    </row>
    <row r="73" spans="2:2" ht="15.6" x14ac:dyDescent="0.3">
      <c r="B73" s="35" t="s">
        <v>200</v>
      </c>
    </row>
    <row r="74" spans="2:2" ht="15.6" x14ac:dyDescent="0.3">
      <c r="B74" s="36" t="s">
        <v>201</v>
      </c>
    </row>
    <row r="75" spans="2:2" ht="15.6" x14ac:dyDescent="0.3">
      <c r="B75" s="36" t="s">
        <v>202</v>
      </c>
    </row>
    <row r="76" spans="2:2" ht="15.6" x14ac:dyDescent="0.3">
      <c r="B76" s="36" t="s">
        <v>203</v>
      </c>
    </row>
    <row r="77" spans="2:2" ht="15.6" x14ac:dyDescent="0.3">
      <c r="B77" s="36" t="s">
        <v>204</v>
      </c>
    </row>
    <row r="78" spans="2:2" ht="15.6" x14ac:dyDescent="0.3">
      <c r="B78" s="35" t="s">
        <v>291</v>
      </c>
    </row>
    <row r="79" spans="2:2" ht="15.6" x14ac:dyDescent="0.3">
      <c r="B79" s="35" t="s">
        <v>205</v>
      </c>
    </row>
    <row r="80" spans="2:2" ht="15.6" x14ac:dyDescent="0.3">
      <c r="B80" s="35"/>
    </row>
    <row r="81" spans="2:2" ht="15.6" x14ac:dyDescent="0.3">
      <c r="B81" s="34" t="s">
        <v>126</v>
      </c>
    </row>
    <row r="82" spans="2:2" ht="15.6" x14ac:dyDescent="0.3">
      <c r="B82" s="35" t="s">
        <v>206</v>
      </c>
    </row>
    <row r="83" spans="2:2" ht="15.6" x14ac:dyDescent="0.3">
      <c r="B83" s="35" t="s">
        <v>207</v>
      </c>
    </row>
    <row r="84" spans="2:2" ht="15.6" x14ac:dyDescent="0.3">
      <c r="B84" s="35" t="s">
        <v>208</v>
      </c>
    </row>
    <row r="85" spans="2:2" ht="15.6" x14ac:dyDescent="0.3">
      <c r="B85" s="35" t="s">
        <v>209</v>
      </c>
    </row>
    <row r="86" spans="2:2" ht="15.6" x14ac:dyDescent="0.3">
      <c r="B86" s="35" t="s">
        <v>210</v>
      </c>
    </row>
    <row r="87" spans="2:2" ht="15.6" x14ac:dyDescent="0.3">
      <c r="B87" s="35" t="s">
        <v>211</v>
      </c>
    </row>
    <row r="88" spans="2:2" ht="15.6" x14ac:dyDescent="0.3">
      <c r="B88" s="35" t="s">
        <v>212</v>
      </c>
    </row>
    <row r="89" spans="2:2" ht="15.6" x14ac:dyDescent="0.3">
      <c r="B89" s="35" t="s">
        <v>292</v>
      </c>
    </row>
    <row r="90" spans="2:2" ht="15.6" x14ac:dyDescent="0.3">
      <c r="B90" s="35" t="s">
        <v>213</v>
      </c>
    </row>
    <row r="91" spans="2:2" ht="15.6" x14ac:dyDescent="0.3">
      <c r="B91" s="35" t="s">
        <v>214</v>
      </c>
    </row>
    <row r="92" spans="2:2" ht="15.6" x14ac:dyDescent="0.3">
      <c r="B92" s="35" t="s">
        <v>215</v>
      </c>
    </row>
    <row r="93" spans="2:2" ht="15.6" x14ac:dyDescent="0.3">
      <c r="B93" s="35" t="s">
        <v>216</v>
      </c>
    </row>
    <row r="94" spans="2:2" ht="15.6" x14ac:dyDescent="0.3">
      <c r="B94" s="35"/>
    </row>
    <row r="95" spans="2:2" ht="15.6" x14ac:dyDescent="0.3">
      <c r="B95" s="34" t="s">
        <v>323</v>
      </c>
    </row>
    <row r="96" spans="2:2" ht="15.6" x14ac:dyDescent="0.3">
      <c r="B96" s="35" t="s">
        <v>324</v>
      </c>
    </row>
    <row r="97" spans="2:2" ht="15.6" x14ac:dyDescent="0.3">
      <c r="B97" s="34" t="s">
        <v>325</v>
      </c>
    </row>
    <row r="98" spans="2:2" ht="15.6" x14ac:dyDescent="0.3">
      <c r="B98" s="34" t="s">
        <v>326</v>
      </c>
    </row>
    <row r="99" spans="2:2" ht="15.6" x14ac:dyDescent="0.3">
      <c r="B99" s="35" t="s">
        <v>327</v>
      </c>
    </row>
    <row r="100" spans="2:2" ht="15.6" x14ac:dyDescent="0.3">
      <c r="B100" s="36" t="s">
        <v>328</v>
      </c>
    </row>
    <row r="101" spans="2:2" ht="15.6" x14ac:dyDescent="0.3">
      <c r="B101" s="36" t="s">
        <v>329</v>
      </c>
    </row>
    <row r="102" spans="2:2" ht="15.6" x14ac:dyDescent="0.3">
      <c r="B102" s="36" t="s">
        <v>330</v>
      </c>
    </row>
    <row r="103" spans="2:2" ht="15.6" x14ac:dyDescent="0.3">
      <c r="B103" s="36" t="s">
        <v>331</v>
      </c>
    </row>
    <row r="104" spans="2:2" ht="15.6" x14ac:dyDescent="0.3">
      <c r="B104" s="36" t="s">
        <v>332</v>
      </c>
    </row>
    <row r="105" spans="2:2" ht="15.6" x14ac:dyDescent="0.3">
      <c r="B105" s="35" t="s">
        <v>207</v>
      </c>
    </row>
    <row r="106" spans="2:2" ht="15.6" x14ac:dyDescent="0.3">
      <c r="B106" s="36" t="s">
        <v>333</v>
      </c>
    </row>
    <row r="107" spans="2:2" ht="15.6" x14ac:dyDescent="0.3">
      <c r="B107" s="36" t="s">
        <v>334</v>
      </c>
    </row>
    <row r="108" spans="2:2" ht="15.6" x14ac:dyDescent="0.3">
      <c r="B108" s="36" t="s">
        <v>335</v>
      </c>
    </row>
    <row r="109" spans="2:2" ht="15.6" x14ac:dyDescent="0.3">
      <c r="B109" s="34" t="s">
        <v>336</v>
      </c>
    </row>
    <row r="110" spans="2:2" ht="15.6" x14ac:dyDescent="0.3">
      <c r="B110" s="34" t="s">
        <v>337</v>
      </c>
    </row>
    <row r="111" spans="2:2" ht="15.6" x14ac:dyDescent="0.3">
      <c r="B111" s="35" t="s">
        <v>338</v>
      </c>
    </row>
    <row r="112" spans="2:2" ht="15.6" x14ac:dyDescent="0.3">
      <c r="B112" s="35" t="s">
        <v>207</v>
      </c>
    </row>
    <row r="113" spans="2:2" ht="15.6" x14ac:dyDescent="0.3">
      <c r="B113" s="36" t="s">
        <v>339</v>
      </c>
    </row>
    <row r="114" spans="2:2" ht="15.6" x14ac:dyDescent="0.3">
      <c r="B114" s="36" t="s">
        <v>340</v>
      </c>
    </row>
    <row r="115" spans="2:2" ht="15.6" x14ac:dyDescent="0.3">
      <c r="B115" s="34" t="s">
        <v>341</v>
      </c>
    </row>
    <row r="116" spans="2:2" ht="15.6" x14ac:dyDescent="0.3">
      <c r="B116" s="35" t="s">
        <v>342</v>
      </c>
    </row>
    <row r="117" spans="2:2" ht="15.6" x14ac:dyDescent="0.3">
      <c r="B117" s="35" t="s">
        <v>343</v>
      </c>
    </row>
    <row r="118" spans="2:2" ht="15.6" x14ac:dyDescent="0.3">
      <c r="B118" s="36" t="s">
        <v>344</v>
      </c>
    </row>
    <row r="119" spans="2:2" ht="15.6" x14ac:dyDescent="0.3">
      <c r="B119" s="36" t="s">
        <v>345</v>
      </c>
    </row>
    <row r="120" spans="2:2" ht="15.6" x14ac:dyDescent="0.3">
      <c r="B120" s="36" t="s">
        <v>346</v>
      </c>
    </row>
    <row r="121" spans="2:2" ht="15.6" x14ac:dyDescent="0.3">
      <c r="B121" s="35"/>
    </row>
    <row r="122" spans="2:2" ht="15.6" x14ac:dyDescent="0.3">
      <c r="B122" s="34" t="s">
        <v>217</v>
      </c>
    </row>
    <row r="123" spans="2:2" ht="15.6" x14ac:dyDescent="0.3">
      <c r="B123" s="35" t="s">
        <v>218</v>
      </c>
    </row>
    <row r="124" spans="2:2" ht="15.6" x14ac:dyDescent="0.3">
      <c r="B124" s="35" t="s">
        <v>219</v>
      </c>
    </row>
    <row r="125" spans="2:2" ht="15.6" x14ac:dyDescent="0.3">
      <c r="B125" s="35" t="s">
        <v>161</v>
      </c>
    </row>
    <row r="126" spans="2:2" ht="15.6" x14ac:dyDescent="0.3">
      <c r="B126" s="35" t="s">
        <v>220</v>
      </c>
    </row>
    <row r="127" spans="2:2" ht="15.6" x14ac:dyDescent="0.3">
      <c r="B127" s="35" t="s">
        <v>221</v>
      </c>
    </row>
    <row r="128" spans="2:2" ht="15.6" x14ac:dyDescent="0.3">
      <c r="B128" s="35" t="s">
        <v>163</v>
      </c>
    </row>
    <row r="129" spans="2:2" ht="15.6" x14ac:dyDescent="0.3">
      <c r="B129" s="35" t="s">
        <v>179</v>
      </c>
    </row>
    <row r="130" spans="2:2" ht="15.6" x14ac:dyDescent="0.3">
      <c r="B130" s="35" t="s">
        <v>222</v>
      </c>
    </row>
    <row r="131" spans="2:2" ht="15.6" x14ac:dyDescent="0.3">
      <c r="B131" s="35" t="s">
        <v>223</v>
      </c>
    </row>
    <row r="132" spans="2:2" ht="15.6" x14ac:dyDescent="0.3">
      <c r="B132" s="35" t="s">
        <v>224</v>
      </c>
    </row>
    <row r="133" spans="2:2" ht="15.6" x14ac:dyDescent="0.3">
      <c r="B133" s="34" t="s">
        <v>225</v>
      </c>
    </row>
    <row r="134" spans="2:2" ht="15.6" x14ac:dyDescent="0.3">
      <c r="B134" s="35" t="s">
        <v>226</v>
      </c>
    </row>
    <row r="135" spans="2:2" ht="15.6" x14ac:dyDescent="0.3">
      <c r="B135" s="35" t="s">
        <v>179</v>
      </c>
    </row>
    <row r="136" spans="2:2" ht="15.6" x14ac:dyDescent="0.3">
      <c r="B136" s="35" t="s">
        <v>227</v>
      </c>
    </row>
    <row r="137" spans="2:2" ht="15.6" x14ac:dyDescent="0.3">
      <c r="B137" s="35" t="s">
        <v>228</v>
      </c>
    </row>
    <row r="138" spans="2:2" ht="15.6" x14ac:dyDescent="0.3">
      <c r="B138" s="35" t="s">
        <v>293</v>
      </c>
    </row>
    <row r="139" spans="2:2" ht="15.6" x14ac:dyDescent="0.3">
      <c r="B139" s="34" t="s">
        <v>229</v>
      </c>
    </row>
    <row r="140" spans="2:2" ht="15.6" x14ac:dyDescent="0.3">
      <c r="B140" s="35" t="s">
        <v>230</v>
      </c>
    </row>
    <row r="141" spans="2:2" ht="15.6" x14ac:dyDescent="0.3">
      <c r="B141" s="35" t="s">
        <v>179</v>
      </c>
    </row>
    <row r="142" spans="2:2" ht="15.6" x14ac:dyDescent="0.3">
      <c r="B142" s="35" t="s">
        <v>231</v>
      </c>
    </row>
    <row r="143" spans="2:2" ht="15.6" x14ac:dyDescent="0.3">
      <c r="B143" s="35" t="s">
        <v>232</v>
      </c>
    </row>
    <row r="144" spans="2:2" ht="15.6" x14ac:dyDescent="0.3">
      <c r="B144" s="35" t="s">
        <v>233</v>
      </c>
    </row>
    <row r="145" spans="2:3" ht="15.6" x14ac:dyDescent="0.3">
      <c r="B145" s="35" t="s">
        <v>234</v>
      </c>
    </row>
    <row r="146" spans="2:3" ht="15.6" x14ac:dyDescent="0.3">
      <c r="B146" s="35" t="s">
        <v>235</v>
      </c>
    </row>
    <row r="147" spans="2:3" ht="15.6" x14ac:dyDescent="0.3">
      <c r="B147" s="35" t="s">
        <v>232</v>
      </c>
    </row>
    <row r="148" spans="2:3" ht="15.6" x14ac:dyDescent="0.3">
      <c r="B148" s="35" t="s">
        <v>236</v>
      </c>
    </row>
    <row r="149" spans="2:3" ht="15.6" x14ac:dyDescent="0.3">
      <c r="B149" s="35" t="s">
        <v>294</v>
      </c>
    </row>
    <row r="150" spans="2:3" ht="15.6" x14ac:dyDescent="0.3">
      <c r="B150" s="34" t="s">
        <v>237</v>
      </c>
    </row>
    <row r="151" spans="2:3" ht="15.6" x14ac:dyDescent="0.3">
      <c r="B151" s="35" t="s">
        <v>238</v>
      </c>
    </row>
    <row r="152" spans="2:3" ht="15.6" x14ac:dyDescent="0.3">
      <c r="B152" s="35" t="s">
        <v>239</v>
      </c>
    </row>
    <row r="153" spans="2:3" ht="15.6" x14ac:dyDescent="0.3">
      <c r="B153" s="35" t="s">
        <v>179</v>
      </c>
    </row>
    <row r="154" spans="2:3" ht="15.6" x14ac:dyDescent="0.3">
      <c r="B154" s="35" t="s">
        <v>322</v>
      </c>
      <c r="C154" s="35" t="s">
        <v>240</v>
      </c>
    </row>
    <row r="155" spans="2:3" ht="15.6" x14ac:dyDescent="0.3">
      <c r="B155" s="35" t="s">
        <v>232</v>
      </c>
    </row>
    <row r="156" spans="2:3" ht="15.6" x14ac:dyDescent="0.3">
      <c r="B156" s="35" t="s">
        <v>241</v>
      </c>
    </row>
    <row r="157" spans="2:3" ht="15.6" x14ac:dyDescent="0.3">
      <c r="B157" s="35" t="s">
        <v>242</v>
      </c>
    </row>
    <row r="158" spans="2:3" ht="15.6" x14ac:dyDescent="0.3">
      <c r="B158" s="35" t="s">
        <v>243</v>
      </c>
    </row>
    <row r="159" spans="2:3" ht="15.6" x14ac:dyDescent="0.3">
      <c r="B159" s="35"/>
    </row>
    <row r="160" spans="2:3" ht="15.6" x14ac:dyDescent="0.3">
      <c r="B160" s="34" t="s">
        <v>244</v>
      </c>
    </row>
    <row r="161" spans="2:2" ht="15.6" x14ac:dyDescent="0.3">
      <c r="B161" s="35" t="s">
        <v>245</v>
      </c>
    </row>
    <row r="162" spans="2:2" ht="15.6" x14ac:dyDescent="0.3">
      <c r="B162" s="35" t="s">
        <v>246</v>
      </c>
    </row>
    <row r="163" spans="2:2" ht="15.6" x14ac:dyDescent="0.3">
      <c r="B163" s="35" t="s">
        <v>247</v>
      </c>
    </row>
    <row r="164" spans="2:2" ht="15.6" x14ac:dyDescent="0.3">
      <c r="B164" s="35" t="s">
        <v>248</v>
      </c>
    </row>
    <row r="165" spans="2:2" ht="15.6" x14ac:dyDescent="0.3">
      <c r="B165" s="35" t="s">
        <v>249</v>
      </c>
    </row>
    <row r="166" spans="2:2" ht="15.6" x14ac:dyDescent="0.3">
      <c r="B166" s="35" t="s">
        <v>250</v>
      </c>
    </row>
    <row r="167" spans="2:2" ht="15.6" x14ac:dyDescent="0.3">
      <c r="B167" s="35" t="s">
        <v>295</v>
      </c>
    </row>
    <row r="168" spans="2:2" ht="15.6" x14ac:dyDescent="0.3">
      <c r="B168" s="35" t="s">
        <v>251</v>
      </c>
    </row>
    <row r="169" spans="2:2" ht="15.6" x14ac:dyDescent="0.3">
      <c r="B169" s="35" t="s">
        <v>252</v>
      </c>
    </row>
    <row r="170" spans="2:2" ht="15.6" x14ac:dyDescent="0.3">
      <c r="B170" s="35"/>
    </row>
    <row r="171" spans="2:2" ht="15.6" x14ac:dyDescent="0.3">
      <c r="B171" s="34" t="s">
        <v>253</v>
      </c>
    </row>
    <row r="172" spans="2:2" ht="15.6" x14ac:dyDescent="0.3">
      <c r="B172" s="35" t="s">
        <v>254</v>
      </c>
    </row>
    <row r="173" spans="2:2" ht="15.6" x14ac:dyDescent="0.3">
      <c r="B173" s="36" t="s">
        <v>255</v>
      </c>
    </row>
    <row r="174" spans="2:2" ht="15.6" x14ac:dyDescent="0.3">
      <c r="B174" s="36" t="s">
        <v>296</v>
      </c>
    </row>
    <row r="175" spans="2:2" ht="15.6" x14ac:dyDescent="0.3">
      <c r="B175" s="36" t="s">
        <v>256</v>
      </c>
    </row>
    <row r="176" spans="2:2" ht="15.6" x14ac:dyDescent="0.3">
      <c r="B176" s="36" t="s">
        <v>297</v>
      </c>
    </row>
    <row r="177" spans="2:2" ht="15.6" x14ac:dyDescent="0.3">
      <c r="B177" s="36" t="s">
        <v>257</v>
      </c>
    </row>
    <row r="178" spans="2:2" ht="15.6" x14ac:dyDescent="0.3">
      <c r="B178" s="36" t="s">
        <v>298</v>
      </c>
    </row>
    <row r="179" spans="2:2" ht="15.6" x14ac:dyDescent="0.3">
      <c r="B179" s="35" t="s">
        <v>299</v>
      </c>
    </row>
    <row r="180" spans="2:2" ht="15.6" x14ac:dyDescent="0.3">
      <c r="B180" s="35"/>
    </row>
    <row r="181" spans="2:2" ht="15.6" x14ac:dyDescent="0.3">
      <c r="B181" s="34" t="s">
        <v>258</v>
      </c>
    </row>
    <row r="182" spans="2:2" ht="15.6" x14ac:dyDescent="0.3">
      <c r="B182" s="35" t="s">
        <v>300</v>
      </c>
    </row>
    <row r="183" spans="2:2" ht="15.6" x14ac:dyDescent="0.3">
      <c r="B183" s="35" t="s">
        <v>259</v>
      </c>
    </row>
    <row r="184" spans="2:2" ht="15.6" x14ac:dyDescent="0.3">
      <c r="B184" s="35" t="s">
        <v>301</v>
      </c>
    </row>
    <row r="185" spans="2:2" ht="15.6" x14ac:dyDescent="0.3">
      <c r="B185" s="35" t="s">
        <v>179</v>
      </c>
    </row>
    <row r="186" spans="2:2" ht="15.6" x14ac:dyDescent="0.3">
      <c r="B186" s="35" t="s">
        <v>260</v>
      </c>
    </row>
    <row r="187" spans="2:2" ht="15.6" x14ac:dyDescent="0.3">
      <c r="B187" s="35" t="s">
        <v>261</v>
      </c>
    </row>
    <row r="188" spans="2:2" ht="15.6" x14ac:dyDescent="0.3">
      <c r="B188" s="35" t="s">
        <v>262</v>
      </c>
    </row>
    <row r="189" spans="2:2" ht="15.6" x14ac:dyDescent="0.3">
      <c r="B189" s="35" t="s">
        <v>263</v>
      </c>
    </row>
    <row r="190" spans="2:2" ht="15.6" x14ac:dyDescent="0.3">
      <c r="B190" s="35" t="s">
        <v>302</v>
      </c>
    </row>
    <row r="191" spans="2:2" ht="15.6" x14ac:dyDescent="0.3">
      <c r="B191" s="35" t="s">
        <v>264</v>
      </c>
    </row>
    <row r="192" spans="2:2" ht="15.6" x14ac:dyDescent="0.3">
      <c r="B192" s="35"/>
    </row>
    <row r="193" spans="2:2" ht="15.6" x14ac:dyDescent="0.3">
      <c r="B193" s="34" t="s">
        <v>265</v>
      </c>
    </row>
    <row r="194" spans="2:2" ht="15.6" x14ac:dyDescent="0.3">
      <c r="B194" s="35" t="s">
        <v>266</v>
      </c>
    </row>
    <row r="195" spans="2:2" ht="15.6" x14ac:dyDescent="0.3">
      <c r="B195" s="35" t="s">
        <v>267</v>
      </c>
    </row>
    <row r="196" spans="2:2" ht="15.6" x14ac:dyDescent="0.3">
      <c r="B196" s="35" t="s">
        <v>268</v>
      </c>
    </row>
    <row r="197" spans="2:2" ht="15.6" x14ac:dyDescent="0.3">
      <c r="B197" s="35" t="s">
        <v>267</v>
      </c>
    </row>
    <row r="198" spans="2:2" ht="15.6" x14ac:dyDescent="0.3">
      <c r="B198" s="35" t="s">
        <v>269</v>
      </c>
    </row>
    <row r="199" spans="2:2" ht="15.6" x14ac:dyDescent="0.3">
      <c r="B199" s="35" t="s">
        <v>267</v>
      </c>
    </row>
    <row r="200" spans="2:2" ht="15.6" x14ac:dyDescent="0.3">
      <c r="B200" s="35" t="s">
        <v>270</v>
      </c>
    </row>
    <row r="201" spans="2:2" ht="15.6" x14ac:dyDescent="0.3">
      <c r="B201" s="35" t="s">
        <v>267</v>
      </c>
    </row>
    <row r="202" spans="2:2" ht="15.6" x14ac:dyDescent="0.3">
      <c r="B202" s="35" t="s">
        <v>271</v>
      </c>
    </row>
    <row r="203" spans="2:2" ht="15.6" x14ac:dyDescent="0.3">
      <c r="B203" s="35" t="s">
        <v>267</v>
      </c>
    </row>
    <row r="204" spans="2:2" ht="15.6" x14ac:dyDescent="0.3">
      <c r="B204" s="35" t="s">
        <v>272</v>
      </c>
    </row>
    <row r="205" spans="2:2" ht="15.6" x14ac:dyDescent="0.3">
      <c r="B205" s="35" t="s">
        <v>267</v>
      </c>
    </row>
    <row r="206" spans="2:2" ht="15.6" x14ac:dyDescent="0.3">
      <c r="B206" s="35" t="s">
        <v>273</v>
      </c>
    </row>
    <row r="207" spans="2:2" ht="15.6" x14ac:dyDescent="0.3">
      <c r="B207" s="35" t="s">
        <v>267</v>
      </c>
    </row>
    <row r="208" spans="2:2" ht="15.6" x14ac:dyDescent="0.3">
      <c r="B208" s="35" t="s">
        <v>274</v>
      </c>
    </row>
    <row r="209" spans="2:2" ht="15.6" x14ac:dyDescent="0.3">
      <c r="B209" s="35" t="s">
        <v>267</v>
      </c>
    </row>
    <row r="210" spans="2:2" ht="15.6" x14ac:dyDescent="0.3">
      <c r="B210" s="35" t="s">
        <v>275</v>
      </c>
    </row>
    <row r="211" spans="2:2" ht="15.6" x14ac:dyDescent="0.3">
      <c r="B211" s="35"/>
    </row>
    <row r="212" spans="2:2" ht="15.6" x14ac:dyDescent="0.3">
      <c r="B212" s="34" t="s">
        <v>276</v>
      </c>
    </row>
    <row r="213" spans="2:2" ht="15.6" x14ac:dyDescent="0.3">
      <c r="B213" s="35" t="s">
        <v>277</v>
      </c>
    </row>
    <row r="214" spans="2:2" ht="15.6" x14ac:dyDescent="0.3">
      <c r="B214" s="35" t="s">
        <v>278</v>
      </c>
    </row>
    <row r="215" spans="2:2" ht="15.6" x14ac:dyDescent="0.3">
      <c r="B215" s="35" t="s">
        <v>279</v>
      </c>
    </row>
    <row r="216" spans="2:2" ht="15.6" x14ac:dyDescent="0.3">
      <c r="B216" s="35" t="s">
        <v>280</v>
      </c>
    </row>
    <row r="217" spans="2:2" ht="15.6" x14ac:dyDescent="0.3">
      <c r="B217" s="35" t="s">
        <v>303</v>
      </c>
    </row>
    <row r="218" spans="2:2" ht="15.6" x14ac:dyDescent="0.3">
      <c r="B218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76C7-180E-4761-B095-675AD38FF83A}">
  <dimension ref="C2:AX298"/>
  <sheetViews>
    <sheetView tabSelected="1" zoomScale="75" zoomScaleNormal="75" workbookViewId="0">
      <selection activeCell="AD30" sqref="AD30"/>
    </sheetView>
  </sheetViews>
  <sheetFormatPr defaultRowHeight="14.4" x14ac:dyDescent="0.3"/>
  <cols>
    <col min="1" max="2" width="4.77734375" style="2" customWidth="1"/>
    <col min="3" max="3" width="15.77734375" style="2" customWidth="1"/>
    <col min="4" max="5" width="10.77734375" style="2" customWidth="1"/>
    <col min="6" max="6" width="30.77734375" style="2" customWidth="1"/>
    <col min="7" max="7" width="10.77734375" style="2" customWidth="1"/>
    <col min="8" max="9" width="6.77734375" style="2" customWidth="1"/>
    <col min="10" max="10" width="10.77734375" style="2" customWidth="1"/>
    <col min="11" max="14" width="6.77734375" style="2" customWidth="1"/>
    <col min="15" max="15" width="1.77734375" style="2" customWidth="1"/>
    <col min="16" max="17" width="10.77734375" style="2" customWidth="1"/>
    <col min="18" max="20" width="12.77734375" style="2" customWidth="1"/>
    <col min="21" max="21" width="1.77734375" style="2" customWidth="1"/>
    <col min="22" max="22" width="25.77734375" style="2" customWidth="1"/>
    <col min="23" max="24" width="10.77734375" style="2" customWidth="1"/>
    <col min="25" max="28" width="6.77734375" style="2" customWidth="1"/>
    <col min="29" max="29" width="1.77734375" style="2" customWidth="1"/>
    <col min="30" max="33" width="8.88671875" style="2"/>
    <col min="34" max="35" width="9.5546875" style="2" bestFit="1" customWidth="1"/>
    <col min="36" max="50" width="8.88671875" style="2"/>
    <col min="51" max="51" width="1.77734375" style="2" customWidth="1"/>
    <col min="52" max="16384" width="8.88671875" style="2"/>
  </cols>
  <sheetData>
    <row r="2" spans="3:50" x14ac:dyDescent="0.3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3:50" ht="15" thickBot="1" x14ac:dyDescent="0.35"/>
    <row r="4" spans="3:50" ht="15" thickBot="1" x14ac:dyDescent="0.35">
      <c r="C4" s="26" t="s">
        <v>128</v>
      </c>
      <c r="D4" s="27" t="s">
        <v>80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9"/>
    </row>
    <row r="5" spans="3:50" x14ac:dyDescent="0.3">
      <c r="C5" s="1" t="s">
        <v>42</v>
      </c>
      <c r="D5" s="1"/>
      <c r="E5" s="33" t="s">
        <v>43</v>
      </c>
      <c r="F5" s="33"/>
    </row>
    <row r="6" spans="3:50" x14ac:dyDescent="0.3">
      <c r="C6" s="1" t="s">
        <v>161</v>
      </c>
      <c r="D6" s="1" t="s">
        <v>159</v>
      </c>
      <c r="E6" s="17" t="s">
        <v>160</v>
      </c>
      <c r="F6" s="1" t="s">
        <v>163</v>
      </c>
    </row>
    <row r="7" spans="3:50" x14ac:dyDescent="0.3">
      <c r="C7" s="32" t="str">
        <f>D9</f>
        <v>Event 0</v>
      </c>
      <c r="D7" s="17" t="s">
        <v>165</v>
      </c>
      <c r="E7" s="1">
        <v>3</v>
      </c>
      <c r="F7" s="20" t="s">
        <v>164</v>
      </c>
      <c r="G7" s="20"/>
      <c r="H7" s="20"/>
      <c r="I7" s="20"/>
      <c r="J7" s="20"/>
      <c r="K7" s="20"/>
      <c r="L7" s="20"/>
      <c r="M7" s="20"/>
      <c r="N7" s="20"/>
    </row>
    <row r="8" spans="3:50" ht="15" thickBot="1" x14ac:dyDescent="0.35">
      <c r="D8" s="17" t="s">
        <v>162</v>
      </c>
      <c r="E8" s="1">
        <v>5</v>
      </c>
      <c r="F8" s="8" t="str">
        <f>F7</f>
        <v>EquilibriumState</v>
      </c>
      <c r="G8" s="8"/>
      <c r="H8" s="8"/>
      <c r="I8" s="8"/>
      <c r="J8" s="8"/>
      <c r="K8" s="8"/>
      <c r="L8" s="8"/>
      <c r="M8" s="8"/>
      <c r="N8" s="8"/>
    </row>
    <row r="9" spans="3:50" ht="29.4" thickBot="1" x14ac:dyDescent="0.35">
      <c r="C9" s="6" t="s">
        <v>37</v>
      </c>
      <c r="D9" s="1" t="s">
        <v>127</v>
      </c>
      <c r="E9" s="1" t="s">
        <v>125</v>
      </c>
      <c r="F9" s="1" t="s">
        <v>126</v>
      </c>
      <c r="G9" s="6"/>
      <c r="H9" s="6"/>
      <c r="I9" s="6"/>
      <c r="J9" s="1" t="s">
        <v>28</v>
      </c>
      <c r="P9" s="1" t="s">
        <v>8</v>
      </c>
      <c r="V9" s="1" t="s">
        <v>27</v>
      </c>
      <c r="AD9" s="15" t="s">
        <v>47</v>
      </c>
    </row>
    <row r="10" spans="3:50" ht="29.4" thickBot="1" x14ac:dyDescent="0.35">
      <c r="C10" s="1"/>
      <c r="D10" s="1"/>
      <c r="E10" s="13" t="s">
        <v>90</v>
      </c>
      <c r="J10" s="1" t="s">
        <v>1</v>
      </c>
      <c r="K10" s="1" t="s">
        <v>16</v>
      </c>
      <c r="L10" s="1" t="s">
        <v>29</v>
      </c>
      <c r="M10" s="6" t="s">
        <v>30</v>
      </c>
      <c r="N10" s="1" t="s">
        <v>19</v>
      </c>
      <c r="P10" s="1" t="s">
        <v>1</v>
      </c>
      <c r="R10" s="4" t="s">
        <v>10</v>
      </c>
      <c r="S10" s="4" t="s">
        <v>11</v>
      </c>
      <c r="T10" s="4" t="s">
        <v>12</v>
      </c>
      <c r="V10" s="1" t="s">
        <v>13</v>
      </c>
      <c r="W10" s="1" t="s">
        <v>14</v>
      </c>
      <c r="X10" s="1" t="s">
        <v>15</v>
      </c>
      <c r="Y10" s="1" t="s">
        <v>16</v>
      </c>
      <c r="Z10" s="1" t="s">
        <v>17</v>
      </c>
      <c r="AA10" s="1" t="s">
        <v>18</v>
      </c>
      <c r="AB10" s="1" t="s">
        <v>19</v>
      </c>
      <c r="AD10" s="15" t="s">
        <v>48</v>
      </c>
    </row>
    <row r="11" spans="3:50" ht="15" thickBot="1" x14ac:dyDescent="0.35">
      <c r="J11" s="2" t="s">
        <v>2</v>
      </c>
      <c r="K11" s="2">
        <v>10</v>
      </c>
      <c r="L11" s="2">
        <v>0</v>
      </c>
      <c r="M11" s="2">
        <v>345</v>
      </c>
      <c r="N11" s="2" t="s">
        <v>21</v>
      </c>
      <c r="P11" s="2" t="s">
        <v>2</v>
      </c>
      <c r="R11" s="3">
        <v>5000</v>
      </c>
      <c r="S11" s="3">
        <v>40</v>
      </c>
      <c r="T11" s="3">
        <v>5000</v>
      </c>
      <c r="V11" s="2" t="s">
        <v>20</v>
      </c>
      <c r="W11" s="2" t="s">
        <v>2</v>
      </c>
      <c r="X11" s="2" t="s">
        <v>3</v>
      </c>
      <c r="Y11" s="2">
        <v>0.1</v>
      </c>
      <c r="Z11" s="2">
        <v>0.01</v>
      </c>
      <c r="AA11" s="3">
        <v>5000</v>
      </c>
      <c r="AB11" s="2" t="s">
        <v>21</v>
      </c>
      <c r="AD11" s="15" t="s">
        <v>129</v>
      </c>
    </row>
    <row r="12" spans="3:50" ht="15" thickBot="1" x14ac:dyDescent="0.35">
      <c r="J12" s="2" t="s">
        <v>3</v>
      </c>
      <c r="K12" s="2">
        <v>5</v>
      </c>
      <c r="L12" s="2">
        <v>-8.66</v>
      </c>
      <c r="M12" s="2">
        <v>345</v>
      </c>
      <c r="N12" s="2" t="s">
        <v>21</v>
      </c>
      <c r="P12" s="2" t="s">
        <v>3</v>
      </c>
      <c r="R12" s="3">
        <v>5000</v>
      </c>
      <c r="S12" s="3">
        <v>45</v>
      </c>
      <c r="T12" s="3">
        <v>5000</v>
      </c>
      <c r="V12" s="2" t="s">
        <v>22</v>
      </c>
      <c r="W12" s="2" t="s">
        <v>3</v>
      </c>
      <c r="X12" s="2" t="s">
        <v>4</v>
      </c>
      <c r="Y12" s="2">
        <v>0.1</v>
      </c>
      <c r="Z12" s="2">
        <v>0.01</v>
      </c>
      <c r="AA12" s="3">
        <v>5000</v>
      </c>
      <c r="AB12" s="2" t="s">
        <v>21</v>
      </c>
      <c r="AD12" s="15" t="s">
        <v>130</v>
      </c>
      <c r="AG12" s="24" t="str">
        <f>RIGHT(AD12,9)</f>
        <v>1.595e+06</v>
      </c>
      <c r="AH12" s="22">
        <f>_xlfn.NUMBERVALUE(AG12)</f>
        <v>1595000</v>
      </c>
    </row>
    <row r="13" spans="3:50" ht="15" thickBot="1" x14ac:dyDescent="0.35">
      <c r="J13" s="2" t="s">
        <v>4</v>
      </c>
      <c r="K13" s="2">
        <v>-5</v>
      </c>
      <c r="L13" s="2">
        <v>-8.66</v>
      </c>
      <c r="M13" s="2">
        <v>345</v>
      </c>
      <c r="N13" s="2" t="s">
        <v>21</v>
      </c>
      <c r="P13" s="2" t="s">
        <v>4</v>
      </c>
      <c r="R13" s="3">
        <v>5000</v>
      </c>
      <c r="S13" s="3">
        <v>50</v>
      </c>
      <c r="T13" s="3">
        <v>5000</v>
      </c>
      <c r="V13" s="2" t="s">
        <v>23</v>
      </c>
      <c r="W13" s="2" t="s">
        <v>4</v>
      </c>
      <c r="X13" s="2" t="s">
        <v>7</v>
      </c>
      <c r="Y13" s="2">
        <v>0.1</v>
      </c>
      <c r="Z13" s="2">
        <v>0.01</v>
      </c>
      <c r="AA13" s="3">
        <v>5000</v>
      </c>
      <c r="AB13" s="2" t="s">
        <v>21</v>
      </c>
      <c r="AD13" s="15" t="s">
        <v>51</v>
      </c>
    </row>
    <row r="14" spans="3:50" ht="15" thickBot="1" x14ac:dyDescent="0.35">
      <c r="J14" s="2" t="s">
        <v>5</v>
      </c>
      <c r="K14" s="2">
        <v>-10</v>
      </c>
      <c r="L14" s="2">
        <v>0</v>
      </c>
      <c r="M14" s="2">
        <v>345</v>
      </c>
      <c r="N14" s="2" t="s">
        <v>21</v>
      </c>
      <c r="P14" s="2" t="s">
        <v>5</v>
      </c>
      <c r="R14" s="3">
        <v>5000</v>
      </c>
      <c r="S14" s="3">
        <v>60</v>
      </c>
      <c r="T14" s="3">
        <v>5000</v>
      </c>
      <c r="V14" s="2" t="s">
        <v>24</v>
      </c>
      <c r="W14" s="2" t="s">
        <v>4</v>
      </c>
      <c r="X14" s="2" t="s">
        <v>5</v>
      </c>
      <c r="Y14" s="2">
        <v>0.1</v>
      </c>
      <c r="Z14" s="2">
        <v>0.01</v>
      </c>
      <c r="AA14" s="10">
        <v>5000</v>
      </c>
      <c r="AB14" s="2" t="s">
        <v>21</v>
      </c>
      <c r="AD14" s="15" t="s">
        <v>52</v>
      </c>
    </row>
    <row r="15" spans="3:50" ht="15" thickBot="1" x14ac:dyDescent="0.35">
      <c r="J15" s="2" t="s">
        <v>6</v>
      </c>
      <c r="K15" s="2">
        <v>-5</v>
      </c>
      <c r="L15" s="2">
        <v>8.66</v>
      </c>
      <c r="M15" s="2">
        <v>345</v>
      </c>
      <c r="N15" s="2" t="s">
        <v>21</v>
      </c>
      <c r="P15" s="2" t="s">
        <v>6</v>
      </c>
      <c r="R15" s="10">
        <v>6000</v>
      </c>
      <c r="S15" s="3">
        <v>55</v>
      </c>
      <c r="T15" s="3">
        <v>5000</v>
      </c>
      <c r="V15" s="2" t="s">
        <v>25</v>
      </c>
      <c r="W15" s="2" t="s">
        <v>5</v>
      </c>
      <c r="X15" s="2" t="s">
        <v>6</v>
      </c>
      <c r="Y15" s="2">
        <v>0.1</v>
      </c>
      <c r="Z15" s="2">
        <v>0.01</v>
      </c>
      <c r="AA15" s="10">
        <v>5000</v>
      </c>
      <c r="AB15" s="2" t="s">
        <v>21</v>
      </c>
      <c r="AD15" s="15" t="s">
        <v>53</v>
      </c>
    </row>
    <row r="16" spans="3:50" ht="15" thickBot="1" x14ac:dyDescent="0.35">
      <c r="J16" s="2" t="s">
        <v>7</v>
      </c>
      <c r="K16" s="2">
        <v>5</v>
      </c>
      <c r="L16" s="2">
        <v>8.66</v>
      </c>
      <c r="M16" s="2">
        <v>345</v>
      </c>
      <c r="N16" s="2" t="s">
        <v>21</v>
      </c>
      <c r="P16" s="2" t="s">
        <v>7</v>
      </c>
      <c r="R16" s="3">
        <v>5000</v>
      </c>
      <c r="S16" s="3">
        <v>50</v>
      </c>
      <c r="T16" s="3">
        <v>5000</v>
      </c>
      <c r="V16" s="2" t="s">
        <v>26</v>
      </c>
      <c r="W16" s="2" t="s">
        <v>6</v>
      </c>
      <c r="X16" s="2" t="s">
        <v>7</v>
      </c>
      <c r="Y16" s="2">
        <v>0.1</v>
      </c>
      <c r="Z16" s="2">
        <v>0.01</v>
      </c>
      <c r="AA16" s="3">
        <v>5000</v>
      </c>
      <c r="AB16" s="2" t="s">
        <v>21</v>
      </c>
      <c r="AD16" s="15" t="s">
        <v>54</v>
      </c>
    </row>
    <row r="17" spans="16:30" ht="15" thickBot="1" x14ac:dyDescent="0.35">
      <c r="P17" s="1" t="s">
        <v>9</v>
      </c>
      <c r="R17" s="5">
        <f>SUM(R11:R16)</f>
        <v>31000</v>
      </c>
      <c r="T17" s="5">
        <f>SUM(T11:T16)</f>
        <v>30000</v>
      </c>
      <c r="AD17" s="15" t="s">
        <v>55</v>
      </c>
    </row>
    <row r="18" spans="16:30" ht="15" thickBot="1" x14ac:dyDescent="0.35">
      <c r="P18" s="1" t="s">
        <v>31</v>
      </c>
      <c r="AD18" s="15" t="s">
        <v>113</v>
      </c>
    </row>
    <row r="19" spans="16:30" ht="29.4" thickBot="1" x14ac:dyDescent="0.35">
      <c r="P19" s="1" t="s">
        <v>32</v>
      </c>
      <c r="Q19" s="1" t="s">
        <v>1</v>
      </c>
      <c r="R19" s="21" t="s">
        <v>34</v>
      </c>
      <c r="S19" s="6" t="s">
        <v>35</v>
      </c>
      <c r="T19" s="21" t="s">
        <v>36</v>
      </c>
      <c r="AD19" s="15" t="s">
        <v>81</v>
      </c>
    </row>
    <row r="20" spans="16:30" ht="15" thickBot="1" x14ac:dyDescent="0.35">
      <c r="P20" s="2" t="s">
        <v>33</v>
      </c>
      <c r="Q20" s="2" t="s">
        <v>5</v>
      </c>
      <c r="R20" s="10">
        <v>2000</v>
      </c>
      <c r="S20" s="10">
        <v>50</v>
      </c>
      <c r="T20" s="10">
        <v>2000</v>
      </c>
      <c r="AD20" s="15" t="s">
        <v>58</v>
      </c>
    </row>
    <row r="21" spans="16:30" ht="15" thickBot="1" x14ac:dyDescent="0.35">
      <c r="P21" s="1" t="s">
        <v>38</v>
      </c>
      <c r="R21" s="5">
        <f>SUM(R17,R20)</f>
        <v>33000</v>
      </c>
      <c r="T21" s="5">
        <f>SUM(T17,T20)</f>
        <v>32000</v>
      </c>
      <c r="AD21" s="15" t="s">
        <v>59</v>
      </c>
    </row>
    <row r="22" spans="16:30" ht="15" thickBot="1" x14ac:dyDescent="0.35">
      <c r="P22" s="1"/>
      <c r="R22" s="12"/>
      <c r="T22" s="12"/>
      <c r="AD22" s="15" t="s">
        <v>60</v>
      </c>
    </row>
    <row r="23" spans="16:30" ht="15" thickBot="1" x14ac:dyDescent="0.35">
      <c r="P23" s="1"/>
      <c r="R23" s="12"/>
      <c r="T23" s="12"/>
      <c r="AD23" s="15" t="s">
        <v>61</v>
      </c>
    </row>
    <row r="24" spans="16:30" ht="15" thickBot="1" x14ac:dyDescent="0.35">
      <c r="P24" s="1"/>
      <c r="R24" s="12"/>
      <c r="T24" s="12"/>
      <c r="AD24" s="15" t="s">
        <v>62</v>
      </c>
    </row>
    <row r="25" spans="16:30" ht="15" thickBot="1" x14ac:dyDescent="0.35">
      <c r="P25" s="1"/>
      <c r="R25" s="12"/>
      <c r="T25" s="12"/>
      <c r="AD25" s="15" t="s">
        <v>63</v>
      </c>
    </row>
    <row r="26" spans="16:30" ht="15" thickBot="1" x14ac:dyDescent="0.35">
      <c r="P26" s="1"/>
      <c r="R26" s="12"/>
      <c r="T26" s="12"/>
      <c r="AD26" s="15" t="s">
        <v>109</v>
      </c>
    </row>
    <row r="27" spans="16:30" ht="15" thickBot="1" x14ac:dyDescent="0.35">
      <c r="P27" s="1"/>
      <c r="R27" s="12"/>
      <c r="T27" s="12"/>
      <c r="AD27" s="15" t="s">
        <v>82</v>
      </c>
    </row>
    <row r="28" spans="16:30" ht="15" thickBot="1" x14ac:dyDescent="0.35">
      <c r="P28" s="1"/>
      <c r="R28" s="12"/>
      <c r="T28" s="12"/>
      <c r="AD28" s="15" t="s">
        <v>66</v>
      </c>
    </row>
    <row r="29" spans="16:30" ht="15" thickBot="1" x14ac:dyDescent="0.35">
      <c r="P29" s="1"/>
      <c r="R29" s="12"/>
      <c r="T29" s="12"/>
      <c r="AD29" s="15" t="s">
        <v>67</v>
      </c>
    </row>
    <row r="30" spans="16:30" ht="15" thickBot="1" x14ac:dyDescent="0.35">
      <c r="P30" s="1"/>
      <c r="R30" s="12"/>
      <c r="T30" s="12"/>
      <c r="AD30" s="15" t="s">
        <v>110</v>
      </c>
    </row>
    <row r="31" spans="16:30" ht="15" thickBot="1" x14ac:dyDescent="0.35">
      <c r="P31" s="1"/>
      <c r="R31" s="12"/>
      <c r="T31" s="12"/>
      <c r="AD31" s="15" t="s">
        <v>111</v>
      </c>
    </row>
    <row r="32" spans="16:30" ht="15" thickBot="1" x14ac:dyDescent="0.35">
      <c r="P32" s="1"/>
      <c r="R32" s="12"/>
      <c r="T32" s="12"/>
      <c r="AD32" s="15" t="s">
        <v>70</v>
      </c>
    </row>
    <row r="33" spans="3:50" ht="15" thickBot="1" x14ac:dyDescent="0.35">
      <c r="P33" s="1"/>
      <c r="R33" s="12"/>
      <c r="T33" s="12"/>
      <c r="AD33" s="15" t="s">
        <v>112</v>
      </c>
    </row>
    <row r="34" spans="3:50" ht="15" thickBot="1" x14ac:dyDescent="0.35">
      <c r="P34" s="1"/>
      <c r="R34" s="12"/>
      <c r="T34" s="12"/>
      <c r="AD34" s="15" t="s">
        <v>72</v>
      </c>
    </row>
    <row r="35" spans="3:50" ht="15" thickBot="1" x14ac:dyDescent="0.35"/>
    <row r="36" spans="3:50" ht="15" thickBot="1" x14ac:dyDescent="0.35">
      <c r="C36" s="26" t="s">
        <v>128</v>
      </c>
      <c r="D36" s="30" t="str">
        <f>"Equilibrium state constrained on capacity reliability of: "&amp;P47</f>
        <v>Equilibrium state constrained on capacity reliability of: SERC_SE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9"/>
    </row>
    <row r="37" spans="3:50" x14ac:dyDescent="0.3">
      <c r="C37" s="1" t="s">
        <v>42</v>
      </c>
      <c r="D37" s="1"/>
      <c r="E37" s="33" t="s">
        <v>43</v>
      </c>
      <c r="F37" s="33"/>
    </row>
    <row r="38" spans="3:50" x14ac:dyDescent="0.3">
      <c r="C38" s="1" t="s">
        <v>161</v>
      </c>
      <c r="D38" s="1" t="s">
        <v>159</v>
      </c>
      <c r="E38" s="17" t="s">
        <v>160</v>
      </c>
      <c r="F38" s="1" t="s">
        <v>163</v>
      </c>
    </row>
    <row r="39" spans="3:50" ht="29.4" thickBot="1" x14ac:dyDescent="0.35">
      <c r="C39" s="32" t="str">
        <f>D41&amp;", "&amp;D55&amp;", "&amp;D69</f>
        <v>Event 1, Event 2, Event 3</v>
      </c>
      <c r="D39" s="17" t="s">
        <v>165</v>
      </c>
      <c r="E39" s="1">
        <v>4</v>
      </c>
      <c r="F39" s="8" t="str">
        <f>"CapacityReliabilityConstraint_"&amp;P47</f>
        <v>CapacityReliabilityConstraint_SERC_SE</v>
      </c>
      <c r="G39" s="8"/>
      <c r="H39" s="8"/>
      <c r="I39" s="8"/>
      <c r="J39" s="8"/>
      <c r="K39" s="8"/>
      <c r="L39" s="8"/>
      <c r="M39" s="8"/>
      <c r="N39" s="8"/>
    </row>
    <row r="40" spans="3:50" x14ac:dyDescent="0.3">
      <c r="D40" s="17" t="s">
        <v>162</v>
      </c>
      <c r="E40" s="1"/>
    </row>
    <row r="41" spans="3:50" ht="28.8" x14ac:dyDescent="0.3">
      <c r="C41" s="6" t="s">
        <v>37</v>
      </c>
      <c r="D41" s="6" t="s">
        <v>115</v>
      </c>
      <c r="E41" s="1" t="s">
        <v>125</v>
      </c>
      <c r="F41" s="1" t="s">
        <v>126</v>
      </c>
      <c r="G41" s="6" t="s">
        <v>39</v>
      </c>
      <c r="H41" s="6" t="s">
        <v>44</v>
      </c>
      <c r="I41" s="6" t="s">
        <v>45</v>
      </c>
      <c r="J41" s="1" t="s">
        <v>28</v>
      </c>
      <c r="P41" s="1" t="s">
        <v>8</v>
      </c>
      <c r="V41" s="1" t="s">
        <v>27</v>
      </c>
    </row>
    <row r="42" spans="3:50" ht="28.8" x14ac:dyDescent="0.3">
      <c r="E42" s="13" t="s">
        <v>91</v>
      </c>
      <c r="F42" s="18" t="str">
        <f>"Neighbor "&amp;P47&amp;" failure:"&amp;G45*100&amp;"%"</f>
        <v>Neighbor SERC_SE failure:100%</v>
      </c>
      <c r="J42" s="1" t="s">
        <v>1</v>
      </c>
      <c r="K42" s="1" t="s">
        <v>16</v>
      </c>
      <c r="L42" s="1" t="s">
        <v>29</v>
      </c>
      <c r="M42" s="6" t="s">
        <v>30</v>
      </c>
      <c r="N42" s="1" t="s">
        <v>19</v>
      </c>
      <c r="P42" s="1" t="s">
        <v>1</v>
      </c>
      <c r="R42" s="4" t="s">
        <v>10</v>
      </c>
      <c r="S42" s="4" t="s">
        <v>11</v>
      </c>
      <c r="T42" s="4" t="s">
        <v>12</v>
      </c>
      <c r="V42" s="1" t="s">
        <v>13</v>
      </c>
      <c r="W42" s="1" t="s">
        <v>14</v>
      </c>
      <c r="X42" s="1" t="s">
        <v>15</v>
      </c>
      <c r="Y42" s="1" t="s">
        <v>16</v>
      </c>
      <c r="Z42" s="1" t="s">
        <v>17</v>
      </c>
      <c r="AA42" s="1" t="s">
        <v>18</v>
      </c>
      <c r="AB42" s="1" t="s">
        <v>19</v>
      </c>
    </row>
    <row r="43" spans="3:50" x14ac:dyDescent="0.3">
      <c r="J43" s="2" t="s">
        <v>2</v>
      </c>
      <c r="K43" s="2">
        <v>10</v>
      </c>
      <c r="L43" s="2">
        <v>0</v>
      </c>
      <c r="M43" s="2">
        <v>345</v>
      </c>
      <c r="N43" s="2" t="s">
        <v>21</v>
      </c>
      <c r="P43" s="2" t="s">
        <v>2</v>
      </c>
      <c r="R43" s="3">
        <v>5000</v>
      </c>
      <c r="S43" s="3">
        <v>40</v>
      </c>
      <c r="T43" s="3">
        <v>5000</v>
      </c>
      <c r="V43" s="2" t="s">
        <v>20</v>
      </c>
      <c r="W43" s="2" t="s">
        <v>2</v>
      </c>
      <c r="X43" s="2" t="s">
        <v>3</v>
      </c>
      <c r="Y43" s="2">
        <v>0.1</v>
      </c>
      <c r="Z43" s="2">
        <v>0.01</v>
      </c>
      <c r="AA43" s="3">
        <v>5000</v>
      </c>
      <c r="AB43" s="2" t="s">
        <v>21</v>
      </c>
    </row>
    <row r="44" spans="3:50" x14ac:dyDescent="0.3">
      <c r="J44" s="2" t="s">
        <v>3</v>
      </c>
      <c r="K44" s="2">
        <v>5</v>
      </c>
      <c r="L44" s="2">
        <v>-8.66</v>
      </c>
      <c r="M44" s="2">
        <v>345</v>
      </c>
      <c r="N44" s="2" t="s">
        <v>21</v>
      </c>
      <c r="P44" s="2" t="s">
        <v>3</v>
      </c>
      <c r="R44" s="3">
        <v>5000</v>
      </c>
      <c r="S44" s="3">
        <v>45</v>
      </c>
      <c r="T44" s="3">
        <v>5000</v>
      </c>
      <c r="V44" s="2" t="s">
        <v>22</v>
      </c>
      <c r="W44" s="2" t="s">
        <v>3</v>
      </c>
      <c r="X44" s="2" t="s">
        <v>4</v>
      </c>
      <c r="Y44" s="2">
        <v>0.1</v>
      </c>
      <c r="Z44" s="2">
        <v>0.01</v>
      </c>
      <c r="AA44" s="3">
        <v>5000</v>
      </c>
      <c r="AB44" s="2" t="s">
        <v>21</v>
      </c>
    </row>
    <row r="45" spans="3:50" x14ac:dyDescent="0.3">
      <c r="F45" s="8" t="str">
        <f>P47</f>
        <v>SERC_SE</v>
      </c>
      <c r="G45" s="9">
        <v>1</v>
      </c>
      <c r="J45" s="2" t="s">
        <v>4</v>
      </c>
      <c r="K45" s="2">
        <v>-5</v>
      </c>
      <c r="L45" s="2">
        <v>-8.66</v>
      </c>
      <c r="M45" s="2">
        <v>345</v>
      </c>
      <c r="N45" s="2" t="s">
        <v>21</v>
      </c>
      <c r="P45" s="2" t="s">
        <v>4</v>
      </c>
      <c r="R45" s="3">
        <v>5000</v>
      </c>
      <c r="S45" s="3">
        <v>50</v>
      </c>
      <c r="T45" s="3">
        <v>5000</v>
      </c>
      <c r="V45" s="2" t="s">
        <v>23</v>
      </c>
      <c r="W45" s="2" t="s">
        <v>4</v>
      </c>
      <c r="X45" s="2" t="s">
        <v>7</v>
      </c>
      <c r="Y45" s="2">
        <v>0.1</v>
      </c>
      <c r="Z45" s="2">
        <v>0.01</v>
      </c>
      <c r="AA45" s="3">
        <v>5000</v>
      </c>
      <c r="AB45" s="2" t="s">
        <v>21</v>
      </c>
    </row>
    <row r="46" spans="3:50" x14ac:dyDescent="0.3">
      <c r="F46" s="8" t="str">
        <f>V47</f>
        <v>L_PJM_NE_SERC_SE</v>
      </c>
      <c r="G46" s="9">
        <v>0</v>
      </c>
      <c r="J46" s="2" t="s">
        <v>5</v>
      </c>
      <c r="K46" s="2">
        <v>-10</v>
      </c>
      <c r="L46" s="2">
        <v>0</v>
      </c>
      <c r="M46" s="2">
        <v>345</v>
      </c>
      <c r="N46" s="2" t="s">
        <v>21</v>
      </c>
      <c r="P46" s="2" t="s">
        <v>5</v>
      </c>
      <c r="R46" s="3">
        <v>5000</v>
      </c>
      <c r="S46" s="3">
        <v>60</v>
      </c>
      <c r="T46" s="3">
        <v>5000</v>
      </c>
      <c r="V46" s="20" t="s">
        <v>24</v>
      </c>
      <c r="W46" s="2" t="s">
        <v>4</v>
      </c>
      <c r="X46" s="2" t="s">
        <v>5</v>
      </c>
      <c r="Y46" s="2">
        <v>0.1</v>
      </c>
      <c r="Z46" s="2">
        <v>0.01</v>
      </c>
      <c r="AA46" s="7">
        <f>AA$14*(1-G47)</f>
        <v>5000</v>
      </c>
      <c r="AB46" s="2" t="s">
        <v>21</v>
      </c>
    </row>
    <row r="47" spans="3:50" x14ac:dyDescent="0.3">
      <c r="F47" s="8" t="str">
        <f>V46</f>
        <v>L_SPP_MISO_PJM_NE</v>
      </c>
      <c r="G47" s="9">
        <v>0</v>
      </c>
      <c r="J47" s="2" t="s">
        <v>6</v>
      </c>
      <c r="K47" s="2">
        <v>-5</v>
      </c>
      <c r="L47" s="2">
        <v>8.66</v>
      </c>
      <c r="M47" s="2">
        <v>345</v>
      </c>
      <c r="N47" s="2" t="s">
        <v>21</v>
      </c>
      <c r="P47" s="20" t="s">
        <v>6</v>
      </c>
      <c r="R47" s="7">
        <f>R$15*(1-G45)</f>
        <v>0</v>
      </c>
      <c r="S47" s="3">
        <v>55</v>
      </c>
      <c r="T47" s="3">
        <v>5000</v>
      </c>
      <c r="V47" s="20" t="s">
        <v>25</v>
      </c>
      <c r="W47" s="2" t="s">
        <v>5</v>
      </c>
      <c r="X47" s="2" t="s">
        <v>6</v>
      </c>
      <c r="Y47" s="2">
        <v>0.1</v>
      </c>
      <c r="Z47" s="2">
        <v>0.01</v>
      </c>
      <c r="AA47" s="7">
        <f>AA$15*(1-G46)</f>
        <v>5000</v>
      </c>
      <c r="AB47" s="2" t="s">
        <v>21</v>
      </c>
    </row>
    <row r="48" spans="3:50" x14ac:dyDescent="0.3">
      <c r="F48" s="2" t="s">
        <v>46</v>
      </c>
      <c r="G48" s="3">
        <v>2</v>
      </c>
      <c r="H48" s="3">
        <v>360</v>
      </c>
      <c r="I48" s="7">
        <f>H48+(G48*24)</f>
        <v>408</v>
      </c>
      <c r="J48" s="2" t="s">
        <v>7</v>
      </c>
      <c r="K48" s="2">
        <v>5</v>
      </c>
      <c r="L48" s="2">
        <v>8.66</v>
      </c>
      <c r="M48" s="2">
        <v>345</v>
      </c>
      <c r="N48" s="2" t="s">
        <v>21</v>
      </c>
      <c r="P48" s="2" t="s">
        <v>7</v>
      </c>
      <c r="R48" s="3">
        <v>5000</v>
      </c>
      <c r="S48" s="3">
        <v>50</v>
      </c>
      <c r="T48" s="3">
        <v>5000</v>
      </c>
      <c r="V48" s="2" t="s">
        <v>26</v>
      </c>
      <c r="W48" s="2" t="s">
        <v>6</v>
      </c>
      <c r="X48" s="2" t="s">
        <v>7</v>
      </c>
      <c r="Y48" s="2">
        <v>0.1</v>
      </c>
      <c r="Z48" s="2">
        <v>0.01</v>
      </c>
      <c r="AA48" s="3">
        <v>5000</v>
      </c>
      <c r="AB48" s="2" t="s">
        <v>21</v>
      </c>
    </row>
    <row r="49" spans="3:28" x14ac:dyDescent="0.3">
      <c r="I49" s="7">
        <f>I48-H48</f>
        <v>48</v>
      </c>
      <c r="P49" s="1" t="s">
        <v>9</v>
      </c>
      <c r="R49" s="5">
        <f>SUM(R43:R48)</f>
        <v>25000</v>
      </c>
      <c r="T49" s="5">
        <f>SUM(T43:T48)</f>
        <v>30000</v>
      </c>
    </row>
    <row r="50" spans="3:28" x14ac:dyDescent="0.3">
      <c r="P50" s="1" t="s">
        <v>31</v>
      </c>
    </row>
    <row r="51" spans="3:28" ht="28.8" x14ac:dyDescent="0.3">
      <c r="F51" s="6" t="s">
        <v>40</v>
      </c>
      <c r="G51" s="6" t="s">
        <v>41</v>
      </c>
      <c r="H51" s="6"/>
      <c r="I51" s="6"/>
      <c r="P51" s="1" t="s">
        <v>32</v>
      </c>
      <c r="Q51" s="1" t="s">
        <v>1</v>
      </c>
      <c r="R51" s="21" t="s">
        <v>34</v>
      </c>
      <c r="S51" s="6" t="s">
        <v>35</v>
      </c>
      <c r="T51" s="21" t="s">
        <v>36</v>
      </c>
    </row>
    <row r="52" spans="3:28" x14ac:dyDescent="0.3">
      <c r="F52" s="8" t="str">
        <f>T51</f>
        <v>p_set
(MW)</v>
      </c>
      <c r="G52" s="9">
        <v>0</v>
      </c>
      <c r="H52" s="14"/>
      <c r="I52" s="14"/>
      <c r="P52" s="2" t="s">
        <v>33</v>
      </c>
      <c r="Q52" s="2" t="s">
        <v>5</v>
      </c>
      <c r="R52" s="7">
        <f>R$20*(1+G53)</f>
        <v>2000</v>
      </c>
      <c r="S52" s="7">
        <f>S$20</f>
        <v>50</v>
      </c>
      <c r="T52" s="7">
        <f>T$20*(1-G52)</f>
        <v>2000</v>
      </c>
    </row>
    <row r="53" spans="3:28" x14ac:dyDescent="0.3">
      <c r="F53" s="11" t="str">
        <f>R51</f>
        <v>byog_p_nom
(MW)</v>
      </c>
      <c r="G53" s="9">
        <v>0</v>
      </c>
      <c r="H53" s="14"/>
      <c r="I53" s="14"/>
      <c r="P53" s="1" t="s">
        <v>38</v>
      </c>
      <c r="R53" s="5">
        <f>SUM(R49,R52)</f>
        <v>27000</v>
      </c>
      <c r="T53" s="5">
        <f>SUM(T49,T52)</f>
        <v>32000</v>
      </c>
    </row>
    <row r="55" spans="3:28" ht="28.8" x14ac:dyDescent="0.3">
      <c r="C55" s="6" t="s">
        <v>37</v>
      </c>
      <c r="D55" s="6" t="s">
        <v>116</v>
      </c>
      <c r="E55" s="1" t="s">
        <v>125</v>
      </c>
      <c r="F55" s="1" t="s">
        <v>126</v>
      </c>
      <c r="G55" s="6" t="s">
        <v>39</v>
      </c>
      <c r="H55" s="6"/>
      <c r="I55" s="6"/>
      <c r="J55" s="1" t="s">
        <v>28</v>
      </c>
      <c r="P55" s="1" t="s">
        <v>8</v>
      </c>
      <c r="V55" s="1" t="s">
        <v>27</v>
      </c>
    </row>
    <row r="56" spans="3:28" ht="28.8" x14ac:dyDescent="0.3">
      <c r="E56" s="13" t="s">
        <v>92</v>
      </c>
      <c r="F56" s="18" t="str">
        <f>"Neighbor "&amp;P61&amp;" failure:"&amp;G59*100&amp;"%"</f>
        <v>Neighbor SERC_SE failure:20%</v>
      </c>
      <c r="J56" s="1" t="s">
        <v>1</v>
      </c>
      <c r="K56" s="1" t="s">
        <v>16</v>
      </c>
      <c r="L56" s="1" t="s">
        <v>29</v>
      </c>
      <c r="M56" s="6" t="s">
        <v>30</v>
      </c>
      <c r="N56" s="1" t="s">
        <v>19</v>
      </c>
      <c r="P56" s="1" t="s">
        <v>1</v>
      </c>
      <c r="R56" s="4" t="s">
        <v>10</v>
      </c>
      <c r="S56" s="4" t="s">
        <v>11</v>
      </c>
      <c r="T56" s="4" t="s">
        <v>12</v>
      </c>
      <c r="V56" s="1" t="s">
        <v>13</v>
      </c>
      <c r="W56" s="1" t="s">
        <v>14</v>
      </c>
      <c r="X56" s="1" t="s">
        <v>15</v>
      </c>
      <c r="Y56" s="1" t="s">
        <v>16</v>
      </c>
      <c r="Z56" s="1" t="s">
        <v>17</v>
      </c>
      <c r="AA56" s="1" t="s">
        <v>18</v>
      </c>
      <c r="AB56" s="1" t="s">
        <v>19</v>
      </c>
    </row>
    <row r="57" spans="3:28" x14ac:dyDescent="0.3">
      <c r="J57" s="2" t="s">
        <v>2</v>
      </c>
      <c r="K57" s="2">
        <v>10</v>
      </c>
      <c r="L57" s="2">
        <v>0</v>
      </c>
      <c r="M57" s="2">
        <v>345</v>
      </c>
      <c r="N57" s="2" t="s">
        <v>21</v>
      </c>
      <c r="P57" s="2" t="s">
        <v>2</v>
      </c>
      <c r="R57" s="3">
        <v>5000</v>
      </c>
      <c r="S57" s="3">
        <v>40</v>
      </c>
      <c r="T57" s="3">
        <v>5000</v>
      </c>
      <c r="V57" s="2" t="s">
        <v>20</v>
      </c>
      <c r="W57" s="2" t="s">
        <v>2</v>
      </c>
      <c r="X57" s="2" t="s">
        <v>3</v>
      </c>
      <c r="Y57" s="2">
        <v>0.1</v>
      </c>
      <c r="Z57" s="2">
        <v>0.01</v>
      </c>
      <c r="AA57" s="3">
        <v>5000</v>
      </c>
      <c r="AB57" s="2" t="s">
        <v>21</v>
      </c>
    </row>
    <row r="58" spans="3:28" x14ac:dyDescent="0.3">
      <c r="J58" s="2" t="s">
        <v>3</v>
      </c>
      <c r="K58" s="2">
        <v>5</v>
      </c>
      <c r="L58" s="2">
        <v>-8.66</v>
      </c>
      <c r="M58" s="2">
        <v>345</v>
      </c>
      <c r="N58" s="2" t="s">
        <v>21</v>
      </c>
      <c r="P58" s="2" t="s">
        <v>3</v>
      </c>
      <c r="R58" s="3">
        <v>5000</v>
      </c>
      <c r="S58" s="3">
        <v>45</v>
      </c>
      <c r="T58" s="3">
        <v>5000</v>
      </c>
      <c r="V58" s="2" t="s">
        <v>22</v>
      </c>
      <c r="W58" s="2" t="s">
        <v>3</v>
      </c>
      <c r="X58" s="2" t="s">
        <v>4</v>
      </c>
      <c r="Y58" s="2">
        <v>0.1</v>
      </c>
      <c r="Z58" s="2">
        <v>0.01</v>
      </c>
      <c r="AA58" s="3">
        <v>5000</v>
      </c>
      <c r="AB58" s="2" t="s">
        <v>21</v>
      </c>
    </row>
    <row r="59" spans="3:28" x14ac:dyDescent="0.3">
      <c r="F59" s="8" t="str">
        <f>P61</f>
        <v>SERC_SE</v>
      </c>
      <c r="G59" s="9">
        <v>0.2</v>
      </c>
      <c r="J59" s="2" t="s">
        <v>4</v>
      </c>
      <c r="K59" s="2">
        <v>-5</v>
      </c>
      <c r="L59" s="2">
        <v>-8.66</v>
      </c>
      <c r="M59" s="2">
        <v>345</v>
      </c>
      <c r="N59" s="2" t="s">
        <v>21</v>
      </c>
      <c r="P59" s="2" t="s">
        <v>4</v>
      </c>
      <c r="R59" s="3">
        <v>5000</v>
      </c>
      <c r="S59" s="3">
        <v>50</v>
      </c>
      <c r="T59" s="3">
        <v>5000</v>
      </c>
      <c r="V59" s="2" t="s">
        <v>23</v>
      </c>
      <c r="W59" s="2" t="s">
        <v>4</v>
      </c>
      <c r="X59" s="2" t="s">
        <v>7</v>
      </c>
      <c r="Y59" s="2">
        <v>0.1</v>
      </c>
      <c r="Z59" s="2">
        <v>0.01</v>
      </c>
      <c r="AA59" s="3">
        <v>5000</v>
      </c>
      <c r="AB59" s="2" t="s">
        <v>21</v>
      </c>
    </row>
    <row r="60" spans="3:28" x14ac:dyDescent="0.3">
      <c r="F60" s="8" t="str">
        <f>V61</f>
        <v>L_PJM_NE_SERC_SE</v>
      </c>
      <c r="G60" s="9">
        <v>0</v>
      </c>
      <c r="J60" s="2" t="s">
        <v>5</v>
      </c>
      <c r="K60" s="2">
        <v>-10</v>
      </c>
      <c r="L60" s="2">
        <v>0</v>
      </c>
      <c r="M60" s="2">
        <v>345</v>
      </c>
      <c r="N60" s="2" t="s">
        <v>21</v>
      </c>
      <c r="P60" s="2" t="s">
        <v>5</v>
      </c>
      <c r="R60" s="3">
        <v>5000</v>
      </c>
      <c r="S60" s="3">
        <v>60</v>
      </c>
      <c r="T60" s="3">
        <v>5000</v>
      </c>
      <c r="V60" s="20" t="s">
        <v>24</v>
      </c>
      <c r="W60" s="2" t="s">
        <v>4</v>
      </c>
      <c r="X60" s="2" t="s">
        <v>5</v>
      </c>
      <c r="Y60" s="2">
        <v>0.1</v>
      </c>
      <c r="Z60" s="2">
        <v>0.01</v>
      </c>
      <c r="AA60" s="7">
        <f>AA$14*(1-G61)</f>
        <v>5000</v>
      </c>
      <c r="AB60" s="2" t="s">
        <v>21</v>
      </c>
    </row>
    <row r="61" spans="3:28" x14ac:dyDescent="0.3">
      <c r="F61" s="8" t="str">
        <f>V60</f>
        <v>L_SPP_MISO_PJM_NE</v>
      </c>
      <c r="G61" s="9">
        <v>0</v>
      </c>
      <c r="H61" s="3"/>
      <c r="I61"/>
      <c r="J61" s="2" t="s">
        <v>6</v>
      </c>
      <c r="K61" s="2">
        <v>-5</v>
      </c>
      <c r="L61" s="2">
        <v>8.66</v>
      </c>
      <c r="M61" s="2">
        <v>345</v>
      </c>
      <c r="N61" s="2" t="s">
        <v>21</v>
      </c>
      <c r="P61" s="20" t="s">
        <v>6</v>
      </c>
      <c r="R61" s="7">
        <f>R$15*(1-G59)</f>
        <v>4800</v>
      </c>
      <c r="S61" s="3">
        <v>55</v>
      </c>
      <c r="T61" s="3">
        <v>5000</v>
      </c>
      <c r="V61" s="20" t="s">
        <v>25</v>
      </c>
      <c r="W61" s="2" t="s">
        <v>5</v>
      </c>
      <c r="X61" s="2" t="s">
        <v>6</v>
      </c>
      <c r="Y61" s="2">
        <v>0.1</v>
      </c>
      <c r="Z61" s="2">
        <v>0.01</v>
      </c>
      <c r="AA61" s="7">
        <f>AA$15*(1-G60)</f>
        <v>5000</v>
      </c>
      <c r="AB61" s="2" t="s">
        <v>21</v>
      </c>
    </row>
    <row r="62" spans="3:28" x14ac:dyDescent="0.3">
      <c r="F62" s="2" t="s">
        <v>46</v>
      </c>
      <c r="G62" s="3">
        <v>4</v>
      </c>
      <c r="H62" s="3">
        <v>780</v>
      </c>
      <c r="I62" s="7">
        <f>H62+(G62*24)</f>
        <v>876</v>
      </c>
      <c r="J62" s="2" t="s">
        <v>7</v>
      </c>
      <c r="K62" s="2">
        <v>5</v>
      </c>
      <c r="L62" s="2">
        <v>8.66</v>
      </c>
      <c r="M62" s="2">
        <v>345</v>
      </c>
      <c r="N62" s="2" t="s">
        <v>21</v>
      </c>
      <c r="P62" s="2" t="s">
        <v>7</v>
      </c>
      <c r="R62" s="3">
        <v>5000</v>
      </c>
      <c r="S62" s="3">
        <v>50</v>
      </c>
      <c r="T62" s="3">
        <v>5000</v>
      </c>
      <c r="V62" s="2" t="s">
        <v>26</v>
      </c>
      <c r="W62" s="2" t="s">
        <v>6</v>
      </c>
      <c r="X62" s="2" t="s">
        <v>7</v>
      </c>
      <c r="Y62" s="2">
        <v>0.1</v>
      </c>
      <c r="Z62" s="2">
        <v>0.01</v>
      </c>
      <c r="AA62" s="3">
        <v>5000</v>
      </c>
      <c r="AB62" s="2" t="s">
        <v>21</v>
      </c>
    </row>
    <row r="63" spans="3:28" x14ac:dyDescent="0.3">
      <c r="I63" s="7">
        <f>I62-H62</f>
        <v>96</v>
      </c>
      <c r="P63" s="1" t="s">
        <v>9</v>
      </c>
      <c r="R63" s="5">
        <f>SUM(R57:R62)</f>
        <v>29800</v>
      </c>
      <c r="T63" s="5">
        <f>SUM(T57:T62)</f>
        <v>30000</v>
      </c>
    </row>
    <row r="64" spans="3:28" x14ac:dyDescent="0.3">
      <c r="P64" s="1" t="s">
        <v>31</v>
      </c>
    </row>
    <row r="65" spans="3:28" ht="28.8" x14ac:dyDescent="0.3">
      <c r="F65" s="6" t="s">
        <v>40</v>
      </c>
      <c r="G65" s="6" t="s">
        <v>41</v>
      </c>
      <c r="H65" s="6"/>
      <c r="I65" s="6"/>
      <c r="P65" s="1" t="s">
        <v>32</v>
      </c>
      <c r="Q65" s="1" t="s">
        <v>1</v>
      </c>
      <c r="R65" s="21" t="s">
        <v>34</v>
      </c>
      <c r="S65" s="6" t="s">
        <v>35</v>
      </c>
      <c r="T65" s="21" t="s">
        <v>36</v>
      </c>
    </row>
    <row r="66" spans="3:28" x14ac:dyDescent="0.3">
      <c r="F66" s="8" t="str">
        <f>T65</f>
        <v>p_set
(MW)</v>
      </c>
      <c r="G66" s="9">
        <v>0</v>
      </c>
      <c r="H66" s="14"/>
      <c r="I66" s="14"/>
      <c r="P66" s="2" t="s">
        <v>33</v>
      </c>
      <c r="Q66" s="2" t="s">
        <v>5</v>
      </c>
      <c r="R66" s="7">
        <f>R$20*(1+G67)</f>
        <v>2000</v>
      </c>
      <c r="S66" s="7">
        <f>S$20</f>
        <v>50</v>
      </c>
      <c r="T66" s="7">
        <f>T$20*(1-G66)</f>
        <v>2000</v>
      </c>
    </row>
    <row r="67" spans="3:28" x14ac:dyDescent="0.3">
      <c r="F67" s="11" t="str">
        <f>R65</f>
        <v>byog_p_nom
(MW)</v>
      </c>
      <c r="G67" s="9">
        <v>0</v>
      </c>
      <c r="H67" s="14"/>
      <c r="I67" s="14"/>
      <c r="P67" s="1" t="s">
        <v>38</v>
      </c>
      <c r="R67" s="5">
        <f>SUM(R63,R66)</f>
        <v>31800</v>
      </c>
      <c r="T67" s="5">
        <f>SUM(T63,T66)</f>
        <v>32000</v>
      </c>
    </row>
    <row r="69" spans="3:28" ht="28.8" x14ac:dyDescent="0.3">
      <c r="C69" s="6" t="s">
        <v>37</v>
      </c>
      <c r="D69" s="6" t="s">
        <v>117</v>
      </c>
      <c r="E69" s="1" t="s">
        <v>125</v>
      </c>
      <c r="F69" s="1" t="s">
        <v>126</v>
      </c>
      <c r="G69" s="6" t="s">
        <v>39</v>
      </c>
      <c r="H69" s="6"/>
      <c r="I69" s="6"/>
      <c r="J69" s="1" t="s">
        <v>28</v>
      </c>
      <c r="P69" s="1" t="s">
        <v>8</v>
      </c>
      <c r="V69" s="1" t="s">
        <v>27</v>
      </c>
    </row>
    <row r="70" spans="3:28" ht="28.8" x14ac:dyDescent="0.3">
      <c r="E70" s="13" t="s">
        <v>93</v>
      </c>
      <c r="F70" s="18" t="str">
        <f>"Neighbor "&amp;P75&amp;" failure:"&amp;G73*100&amp;"%"</f>
        <v>Neighbor SERC_SE failure:16%</v>
      </c>
      <c r="J70" s="1" t="s">
        <v>1</v>
      </c>
      <c r="K70" s="1" t="s">
        <v>16</v>
      </c>
      <c r="L70" s="1" t="s">
        <v>29</v>
      </c>
      <c r="M70" s="6" t="s">
        <v>30</v>
      </c>
      <c r="N70" s="1" t="s">
        <v>19</v>
      </c>
      <c r="P70" s="1" t="s">
        <v>1</v>
      </c>
      <c r="R70" s="4" t="s">
        <v>10</v>
      </c>
      <c r="S70" s="4" t="s">
        <v>11</v>
      </c>
      <c r="T70" s="4" t="s">
        <v>12</v>
      </c>
      <c r="V70" s="1" t="s">
        <v>13</v>
      </c>
      <c r="W70" s="1" t="s">
        <v>14</v>
      </c>
      <c r="X70" s="1" t="s">
        <v>15</v>
      </c>
      <c r="Y70" s="1" t="s">
        <v>16</v>
      </c>
      <c r="Z70" s="1" t="s">
        <v>17</v>
      </c>
      <c r="AA70" s="1" t="s">
        <v>18</v>
      </c>
      <c r="AB70" s="1" t="s">
        <v>19</v>
      </c>
    </row>
    <row r="71" spans="3:28" x14ac:dyDescent="0.3">
      <c r="J71" s="2" t="s">
        <v>2</v>
      </c>
      <c r="K71" s="2">
        <v>10</v>
      </c>
      <c r="L71" s="2">
        <v>0</v>
      </c>
      <c r="M71" s="2">
        <v>345</v>
      </c>
      <c r="N71" s="2" t="s">
        <v>21</v>
      </c>
      <c r="P71" s="2" t="s">
        <v>2</v>
      </c>
      <c r="R71" s="3">
        <v>5000</v>
      </c>
      <c r="S71" s="3">
        <v>40</v>
      </c>
      <c r="T71" s="3">
        <v>5000</v>
      </c>
      <c r="V71" s="2" t="s">
        <v>20</v>
      </c>
      <c r="W71" s="2" t="s">
        <v>2</v>
      </c>
      <c r="X71" s="2" t="s">
        <v>3</v>
      </c>
      <c r="Y71" s="2">
        <v>0.1</v>
      </c>
      <c r="Z71" s="2">
        <v>0.01</v>
      </c>
      <c r="AA71" s="3">
        <v>5000</v>
      </c>
      <c r="AB71" s="2" t="s">
        <v>21</v>
      </c>
    </row>
    <row r="72" spans="3:28" x14ac:dyDescent="0.3">
      <c r="J72" s="2" t="s">
        <v>3</v>
      </c>
      <c r="K72" s="2">
        <v>5</v>
      </c>
      <c r="L72" s="2">
        <v>-8.66</v>
      </c>
      <c r="M72" s="2">
        <v>345</v>
      </c>
      <c r="N72" s="2" t="s">
        <v>21</v>
      </c>
      <c r="P72" s="2" t="s">
        <v>3</v>
      </c>
      <c r="R72" s="3">
        <v>5000</v>
      </c>
      <c r="S72" s="3">
        <v>45</v>
      </c>
      <c r="T72" s="3">
        <v>5000</v>
      </c>
      <c r="V72" s="2" t="s">
        <v>22</v>
      </c>
      <c r="W72" s="2" t="s">
        <v>3</v>
      </c>
      <c r="X72" s="2" t="s">
        <v>4</v>
      </c>
      <c r="Y72" s="2">
        <v>0.1</v>
      </c>
      <c r="Z72" s="2">
        <v>0.01</v>
      </c>
      <c r="AA72" s="3">
        <v>5000</v>
      </c>
      <c r="AB72" s="2" t="s">
        <v>21</v>
      </c>
    </row>
    <row r="73" spans="3:28" x14ac:dyDescent="0.3">
      <c r="F73" s="8" t="str">
        <f>P75</f>
        <v>SERC_SE</v>
      </c>
      <c r="G73" s="9">
        <v>0.16</v>
      </c>
      <c r="J73" s="2" t="s">
        <v>4</v>
      </c>
      <c r="K73" s="2">
        <v>-5</v>
      </c>
      <c r="L73" s="2">
        <v>-8.66</v>
      </c>
      <c r="M73" s="2">
        <v>345</v>
      </c>
      <c r="N73" s="2" t="s">
        <v>21</v>
      </c>
      <c r="P73" s="2" t="s">
        <v>4</v>
      </c>
      <c r="R73" s="3">
        <v>5000</v>
      </c>
      <c r="S73" s="3">
        <v>50</v>
      </c>
      <c r="T73" s="3">
        <v>5000</v>
      </c>
      <c r="V73" s="2" t="s">
        <v>23</v>
      </c>
      <c r="W73" s="2" t="s">
        <v>4</v>
      </c>
      <c r="X73" s="2" t="s">
        <v>7</v>
      </c>
      <c r="Y73" s="2">
        <v>0.1</v>
      </c>
      <c r="Z73" s="2">
        <v>0.01</v>
      </c>
      <c r="AA73" s="3">
        <v>5000</v>
      </c>
      <c r="AB73" s="2" t="s">
        <v>21</v>
      </c>
    </row>
    <row r="74" spans="3:28" x14ac:dyDescent="0.3">
      <c r="F74" s="8" t="str">
        <f>V75</f>
        <v>L_PJM_NE_SERC_SE</v>
      </c>
      <c r="G74" s="9">
        <v>0</v>
      </c>
      <c r="J74" s="2" t="s">
        <v>5</v>
      </c>
      <c r="K74" s="2">
        <v>-10</v>
      </c>
      <c r="L74" s="2">
        <v>0</v>
      </c>
      <c r="M74" s="2">
        <v>345</v>
      </c>
      <c r="N74" s="2" t="s">
        <v>21</v>
      </c>
      <c r="P74" s="2" t="s">
        <v>5</v>
      </c>
      <c r="R74" s="3">
        <v>5000</v>
      </c>
      <c r="S74" s="3">
        <v>60</v>
      </c>
      <c r="T74" s="3">
        <v>5000</v>
      </c>
      <c r="V74" s="20" t="s">
        <v>24</v>
      </c>
      <c r="W74" s="2" t="s">
        <v>4</v>
      </c>
      <c r="X74" s="2" t="s">
        <v>5</v>
      </c>
      <c r="Y74" s="2">
        <v>0.1</v>
      </c>
      <c r="Z74" s="2">
        <v>0.01</v>
      </c>
      <c r="AA74" s="7">
        <f>AA$14*(1-G75)</f>
        <v>5000</v>
      </c>
      <c r="AB74" s="2" t="s">
        <v>21</v>
      </c>
    </row>
    <row r="75" spans="3:28" x14ac:dyDescent="0.3">
      <c r="F75" s="8" t="str">
        <f>V74</f>
        <v>L_SPP_MISO_PJM_NE</v>
      </c>
      <c r="G75" s="9">
        <v>0</v>
      </c>
      <c r="H75" s="14"/>
      <c r="I75" s="14"/>
      <c r="J75" s="2" t="s">
        <v>6</v>
      </c>
      <c r="K75" s="2">
        <v>-5</v>
      </c>
      <c r="L75" s="2">
        <v>8.66</v>
      </c>
      <c r="M75" s="2">
        <v>345</v>
      </c>
      <c r="N75" s="2" t="s">
        <v>21</v>
      </c>
      <c r="P75" s="20" t="s">
        <v>6</v>
      </c>
      <c r="R75" s="7">
        <f>R$15*(1-G73)</f>
        <v>5040</v>
      </c>
      <c r="S75" s="3">
        <v>55</v>
      </c>
      <c r="T75" s="3">
        <v>5000</v>
      </c>
      <c r="V75" s="20" t="s">
        <v>25</v>
      </c>
      <c r="W75" s="2" t="s">
        <v>5</v>
      </c>
      <c r="X75" s="2" t="s">
        <v>6</v>
      </c>
      <c r="Y75" s="2">
        <v>0.1</v>
      </c>
      <c r="Z75" s="2">
        <v>0.01</v>
      </c>
      <c r="AA75" s="7">
        <f>AA$15*(1-G74)</f>
        <v>5000</v>
      </c>
      <c r="AB75" s="2" t="s">
        <v>21</v>
      </c>
    </row>
    <row r="76" spans="3:28" x14ac:dyDescent="0.3">
      <c r="F76" s="2" t="s">
        <v>46</v>
      </c>
      <c r="G76" s="3">
        <v>4</v>
      </c>
      <c r="H76" s="3">
        <v>1200</v>
      </c>
      <c r="I76" s="7">
        <f>H76+(G76*24)</f>
        <v>1296</v>
      </c>
      <c r="J76" s="2" t="s">
        <v>7</v>
      </c>
      <c r="K76" s="2">
        <v>5</v>
      </c>
      <c r="L76" s="2">
        <v>8.66</v>
      </c>
      <c r="M76" s="2">
        <v>345</v>
      </c>
      <c r="N76" s="2" t="s">
        <v>21</v>
      </c>
      <c r="P76" s="2" t="s">
        <v>7</v>
      </c>
      <c r="R76" s="3">
        <v>5000</v>
      </c>
      <c r="S76" s="3">
        <v>50</v>
      </c>
      <c r="T76" s="3">
        <v>5000</v>
      </c>
      <c r="V76" s="2" t="s">
        <v>26</v>
      </c>
      <c r="W76" s="2" t="s">
        <v>6</v>
      </c>
      <c r="X76" s="2" t="s">
        <v>7</v>
      </c>
      <c r="Y76" s="2">
        <v>0.1</v>
      </c>
      <c r="Z76" s="2">
        <v>0.01</v>
      </c>
      <c r="AA76" s="3">
        <v>5000</v>
      </c>
      <c r="AB76" s="2" t="s">
        <v>21</v>
      </c>
    </row>
    <row r="77" spans="3:28" x14ac:dyDescent="0.3">
      <c r="I77" s="7">
        <f>I76-H76</f>
        <v>96</v>
      </c>
      <c r="P77" s="1" t="s">
        <v>9</v>
      </c>
      <c r="R77" s="5">
        <f>SUM(R71:R76)</f>
        <v>30040</v>
      </c>
      <c r="T77" s="5">
        <f>SUM(T71:T76)</f>
        <v>30000</v>
      </c>
    </row>
    <row r="78" spans="3:28" x14ac:dyDescent="0.3">
      <c r="P78" s="1" t="s">
        <v>31</v>
      </c>
    </row>
    <row r="79" spans="3:28" ht="28.8" x14ac:dyDescent="0.3">
      <c r="F79" s="6" t="s">
        <v>40</v>
      </c>
      <c r="G79" s="6" t="s">
        <v>41</v>
      </c>
      <c r="H79" s="6"/>
      <c r="I79" s="6"/>
      <c r="P79" s="1" t="s">
        <v>32</v>
      </c>
      <c r="Q79" s="1" t="s">
        <v>1</v>
      </c>
      <c r="R79" s="21" t="s">
        <v>34</v>
      </c>
      <c r="S79" s="6" t="s">
        <v>35</v>
      </c>
      <c r="T79" s="21" t="s">
        <v>36</v>
      </c>
    </row>
    <row r="80" spans="3:28" x14ac:dyDescent="0.3">
      <c r="F80" s="8" t="str">
        <f>T79</f>
        <v>p_set
(MW)</v>
      </c>
      <c r="G80" s="9">
        <v>0</v>
      </c>
      <c r="H80" s="14"/>
      <c r="I80" s="14"/>
      <c r="P80" s="2" t="s">
        <v>33</v>
      </c>
      <c r="Q80" s="2" t="s">
        <v>5</v>
      </c>
      <c r="R80" s="7">
        <f>R$20*(1+G81)</f>
        <v>2000</v>
      </c>
      <c r="S80" s="7">
        <f>S$20</f>
        <v>50</v>
      </c>
      <c r="T80" s="7">
        <f>T$20*(1-G80)</f>
        <v>2000</v>
      </c>
    </row>
    <row r="81" spans="3:50" x14ac:dyDescent="0.3">
      <c r="F81" s="11" t="str">
        <f>R79</f>
        <v>byog_p_nom
(MW)</v>
      </c>
      <c r="G81" s="9">
        <v>0</v>
      </c>
      <c r="H81" s="14"/>
      <c r="I81" s="14"/>
      <c r="P81" s="1" t="s">
        <v>38</v>
      </c>
      <c r="R81" s="5">
        <f>SUM(R77,R80)</f>
        <v>32040</v>
      </c>
      <c r="T81" s="5">
        <f>SUM(T77,T80)</f>
        <v>32000</v>
      </c>
    </row>
    <row r="82" spans="3:50" ht="15" thickBot="1" x14ac:dyDescent="0.35"/>
    <row r="83" spans="3:50" ht="15" thickBot="1" x14ac:dyDescent="0.35">
      <c r="C83" s="26" t="s">
        <v>128</v>
      </c>
      <c r="D83" s="30" t="str">
        <f>"Equilibrium state reliability extended by DC Load Flexibility: "&amp;T98</f>
        <v>Equilibrium state reliability extended by DC Load Flexibility: p_set
(MW)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9"/>
    </row>
    <row r="84" spans="3:50" x14ac:dyDescent="0.3">
      <c r="C84" s="1" t="s">
        <v>42</v>
      </c>
      <c r="D84" s="1"/>
      <c r="E84" s="33" t="s">
        <v>43</v>
      </c>
      <c r="F84" s="33"/>
    </row>
    <row r="85" spans="3:50" x14ac:dyDescent="0.3">
      <c r="C85" s="1" t="s">
        <v>161</v>
      </c>
      <c r="D85" s="1" t="s">
        <v>159</v>
      </c>
      <c r="E85" s="17" t="s">
        <v>160</v>
      </c>
      <c r="F85" s="1" t="s">
        <v>163</v>
      </c>
    </row>
    <row r="86" spans="3:50" x14ac:dyDescent="0.3">
      <c r="C86" s="32" t="str">
        <f>D88</f>
        <v>Event 4</v>
      </c>
      <c r="D86" s="17" t="s">
        <v>165</v>
      </c>
      <c r="E86" s="1">
        <v>5</v>
      </c>
      <c r="F86" s="20" t="str">
        <f>"CapacityReliabilityExtendedDCLoadFlex_"&amp;T117</f>
        <v>CapacityReliabilityExtendedDCLoadFlex_p_set
(MW)</v>
      </c>
      <c r="G86" s="20"/>
      <c r="H86" s="20"/>
      <c r="I86" s="20"/>
      <c r="J86" s="20"/>
      <c r="K86" s="20"/>
      <c r="L86" s="20"/>
      <c r="M86" s="20"/>
      <c r="N86" s="20"/>
    </row>
    <row r="87" spans="3:50" x14ac:dyDescent="0.3">
      <c r="D87" s="17" t="s">
        <v>162</v>
      </c>
      <c r="E87" s="1">
        <v>6</v>
      </c>
      <c r="F87" s="8" t="str">
        <f>F86</f>
        <v>CapacityReliabilityExtendedDCLoadFlex_p_set
(MW)</v>
      </c>
      <c r="G87" s="8"/>
      <c r="H87" s="8"/>
      <c r="I87" s="8"/>
      <c r="J87" s="8"/>
      <c r="K87" s="8"/>
      <c r="L87" s="8"/>
      <c r="M87" s="8"/>
      <c r="N87" s="8"/>
    </row>
    <row r="88" spans="3:50" ht="28.8" x14ac:dyDescent="0.3">
      <c r="C88" s="6" t="s">
        <v>37</v>
      </c>
      <c r="D88" s="6" t="s">
        <v>118</v>
      </c>
      <c r="E88" s="1" t="s">
        <v>125</v>
      </c>
      <c r="F88" s="1" t="s">
        <v>126</v>
      </c>
      <c r="G88" s="6" t="s">
        <v>39</v>
      </c>
      <c r="H88" s="6"/>
      <c r="I88" s="6"/>
      <c r="J88" s="1" t="s">
        <v>28</v>
      </c>
      <c r="P88" s="1" t="s">
        <v>8</v>
      </c>
      <c r="V88" s="1" t="s">
        <v>27</v>
      </c>
    </row>
    <row r="89" spans="3:50" ht="28.8" x14ac:dyDescent="0.3">
      <c r="E89" s="13" t="s">
        <v>94</v>
      </c>
      <c r="F89" s="18" t="str">
        <f>"Neighbor "&amp;P94&amp;" failure:"&amp;G92*100&amp;"%"</f>
        <v>Neighbor SERC_SE failure:20%</v>
      </c>
      <c r="J89" s="1" t="s">
        <v>1</v>
      </c>
      <c r="K89" s="1" t="s">
        <v>16</v>
      </c>
      <c r="L89" s="1" t="s">
        <v>29</v>
      </c>
      <c r="M89" s="6" t="s">
        <v>30</v>
      </c>
      <c r="N89" s="1" t="s">
        <v>19</v>
      </c>
      <c r="P89" s="1" t="s">
        <v>1</v>
      </c>
      <c r="R89" s="4" t="s">
        <v>10</v>
      </c>
      <c r="S89" s="4" t="s">
        <v>11</v>
      </c>
      <c r="T89" s="4" t="s">
        <v>12</v>
      </c>
      <c r="V89" s="1" t="s">
        <v>13</v>
      </c>
      <c r="W89" s="1" t="s">
        <v>14</v>
      </c>
      <c r="X89" s="1" t="s">
        <v>15</v>
      </c>
      <c r="Y89" s="1" t="s">
        <v>16</v>
      </c>
      <c r="Z89" s="1" t="s">
        <v>17</v>
      </c>
      <c r="AA89" s="1" t="s">
        <v>18</v>
      </c>
      <c r="AB89" s="1" t="s">
        <v>19</v>
      </c>
    </row>
    <row r="90" spans="3:50" x14ac:dyDescent="0.3">
      <c r="F90" s="19" t="str">
        <f>"DC load reduction: "&amp;G99*100&amp;"%"</f>
        <v>DC load reduction: 10%</v>
      </c>
      <c r="J90" s="2" t="s">
        <v>2</v>
      </c>
      <c r="K90" s="2">
        <v>10</v>
      </c>
      <c r="L90" s="2">
        <v>0</v>
      </c>
      <c r="M90" s="2">
        <v>345</v>
      </c>
      <c r="N90" s="2" t="s">
        <v>21</v>
      </c>
      <c r="P90" s="2" t="s">
        <v>2</v>
      </c>
      <c r="R90" s="3">
        <v>5000</v>
      </c>
      <c r="S90" s="3">
        <v>40</v>
      </c>
      <c r="T90" s="3">
        <v>5000</v>
      </c>
      <c r="V90" s="2" t="s">
        <v>20</v>
      </c>
      <c r="W90" s="2" t="s">
        <v>2</v>
      </c>
      <c r="X90" s="2" t="s">
        <v>3</v>
      </c>
      <c r="Y90" s="2">
        <v>0.1</v>
      </c>
      <c r="Z90" s="2">
        <v>0.01</v>
      </c>
      <c r="AA90" s="3">
        <v>5000</v>
      </c>
      <c r="AB90" s="2" t="s">
        <v>21</v>
      </c>
    </row>
    <row r="91" spans="3:50" x14ac:dyDescent="0.3">
      <c r="J91" s="2" t="s">
        <v>3</v>
      </c>
      <c r="K91" s="2">
        <v>5</v>
      </c>
      <c r="L91" s="2">
        <v>-8.66</v>
      </c>
      <c r="M91" s="2">
        <v>345</v>
      </c>
      <c r="N91" s="2" t="s">
        <v>21</v>
      </c>
      <c r="P91" s="2" t="s">
        <v>3</v>
      </c>
      <c r="R91" s="3">
        <v>5000</v>
      </c>
      <c r="S91" s="3">
        <v>45</v>
      </c>
      <c r="T91" s="3">
        <v>5000</v>
      </c>
      <c r="V91" s="2" t="s">
        <v>22</v>
      </c>
      <c r="W91" s="2" t="s">
        <v>3</v>
      </c>
      <c r="X91" s="2" t="s">
        <v>4</v>
      </c>
      <c r="Y91" s="2">
        <v>0.1</v>
      </c>
      <c r="Z91" s="2">
        <v>0.01</v>
      </c>
      <c r="AA91" s="3">
        <v>5000</v>
      </c>
      <c r="AB91" s="2" t="s">
        <v>21</v>
      </c>
    </row>
    <row r="92" spans="3:50" x14ac:dyDescent="0.3">
      <c r="F92" s="8" t="str">
        <f>P94</f>
        <v>SERC_SE</v>
      </c>
      <c r="G92" s="9">
        <v>0.2</v>
      </c>
      <c r="J92" s="2" t="s">
        <v>4</v>
      </c>
      <c r="K92" s="2">
        <v>-5</v>
      </c>
      <c r="L92" s="2">
        <v>-8.66</v>
      </c>
      <c r="M92" s="2">
        <v>345</v>
      </c>
      <c r="N92" s="2" t="s">
        <v>21</v>
      </c>
      <c r="P92" s="2" t="s">
        <v>4</v>
      </c>
      <c r="R92" s="3">
        <v>5000</v>
      </c>
      <c r="S92" s="3">
        <v>50</v>
      </c>
      <c r="T92" s="3">
        <v>5000</v>
      </c>
      <c r="V92" s="2" t="s">
        <v>23</v>
      </c>
      <c r="W92" s="2" t="s">
        <v>4</v>
      </c>
      <c r="X92" s="2" t="s">
        <v>7</v>
      </c>
      <c r="Y92" s="2">
        <v>0.1</v>
      </c>
      <c r="Z92" s="2">
        <v>0.01</v>
      </c>
      <c r="AA92" s="3">
        <v>5000</v>
      </c>
      <c r="AB92" s="2" t="s">
        <v>21</v>
      </c>
    </row>
    <row r="93" spans="3:50" x14ac:dyDescent="0.3">
      <c r="F93" s="8" t="str">
        <f>V94</f>
        <v>L_PJM_NE_SERC_SE</v>
      </c>
      <c r="G93" s="9">
        <v>0</v>
      </c>
      <c r="J93" s="2" t="s">
        <v>5</v>
      </c>
      <c r="K93" s="2">
        <v>-10</v>
      </c>
      <c r="L93" s="2">
        <v>0</v>
      </c>
      <c r="M93" s="2">
        <v>345</v>
      </c>
      <c r="N93" s="2" t="s">
        <v>21</v>
      </c>
      <c r="P93" s="2" t="s">
        <v>5</v>
      </c>
      <c r="R93" s="3">
        <v>5000</v>
      </c>
      <c r="S93" s="3">
        <v>60</v>
      </c>
      <c r="T93" s="3">
        <v>5000</v>
      </c>
      <c r="V93" s="20" t="s">
        <v>24</v>
      </c>
      <c r="W93" s="2" t="s">
        <v>4</v>
      </c>
      <c r="X93" s="2" t="s">
        <v>5</v>
      </c>
      <c r="Y93" s="2">
        <v>0.1</v>
      </c>
      <c r="Z93" s="2">
        <v>0.01</v>
      </c>
      <c r="AA93" s="7">
        <f>AA$14*(1-G94)</f>
        <v>5000</v>
      </c>
      <c r="AB93" s="2" t="s">
        <v>21</v>
      </c>
    </row>
    <row r="94" spans="3:50" x14ac:dyDescent="0.3">
      <c r="F94" s="8" t="str">
        <f>V93</f>
        <v>L_SPP_MISO_PJM_NE</v>
      </c>
      <c r="G94" s="9">
        <v>0</v>
      </c>
      <c r="H94" s="14"/>
      <c r="I94" s="14"/>
      <c r="J94" s="2" t="s">
        <v>6</v>
      </c>
      <c r="K94" s="2">
        <v>-5</v>
      </c>
      <c r="L94" s="2">
        <v>8.66</v>
      </c>
      <c r="M94" s="2">
        <v>345</v>
      </c>
      <c r="N94" s="2" t="s">
        <v>21</v>
      </c>
      <c r="P94" s="20" t="s">
        <v>6</v>
      </c>
      <c r="R94" s="7">
        <f>R$15*(1-G92)</f>
        <v>4800</v>
      </c>
      <c r="S94" s="3">
        <v>55</v>
      </c>
      <c r="T94" s="3">
        <v>5000</v>
      </c>
      <c r="V94" s="20" t="s">
        <v>25</v>
      </c>
      <c r="W94" s="2" t="s">
        <v>5</v>
      </c>
      <c r="X94" s="2" t="s">
        <v>6</v>
      </c>
      <c r="Y94" s="2">
        <v>0.1</v>
      </c>
      <c r="Z94" s="2">
        <v>0.01</v>
      </c>
      <c r="AA94" s="7">
        <f>AA$15*(1-G93)</f>
        <v>5000</v>
      </c>
      <c r="AB94" s="2" t="s">
        <v>21</v>
      </c>
    </row>
    <row r="95" spans="3:50" x14ac:dyDescent="0.3">
      <c r="F95" s="2" t="s">
        <v>46</v>
      </c>
      <c r="G95" s="3">
        <v>5</v>
      </c>
      <c r="H95" s="3">
        <v>1620</v>
      </c>
      <c r="I95" s="7">
        <f>H95+(G95*24)</f>
        <v>1740</v>
      </c>
      <c r="J95" s="2" t="s">
        <v>7</v>
      </c>
      <c r="K95" s="2">
        <v>5</v>
      </c>
      <c r="L95" s="2">
        <v>8.66</v>
      </c>
      <c r="M95" s="2">
        <v>345</v>
      </c>
      <c r="N95" s="2" t="s">
        <v>21</v>
      </c>
      <c r="P95" s="2" t="s">
        <v>7</v>
      </c>
      <c r="R95" s="3">
        <v>5000</v>
      </c>
      <c r="S95" s="3">
        <v>50</v>
      </c>
      <c r="T95" s="3">
        <v>5000</v>
      </c>
      <c r="V95" s="2" t="s">
        <v>26</v>
      </c>
      <c r="W95" s="2" t="s">
        <v>6</v>
      </c>
      <c r="X95" s="2" t="s">
        <v>7</v>
      </c>
      <c r="Y95" s="2">
        <v>0.1</v>
      </c>
      <c r="Z95" s="2">
        <v>0.01</v>
      </c>
      <c r="AA95" s="3">
        <v>5000</v>
      </c>
      <c r="AB95" s="2" t="s">
        <v>21</v>
      </c>
    </row>
    <row r="96" spans="3:50" x14ac:dyDescent="0.3">
      <c r="I96" s="7">
        <f>I95-H95</f>
        <v>120</v>
      </c>
      <c r="P96" s="1" t="s">
        <v>9</v>
      </c>
      <c r="R96" s="5">
        <f>SUM(R90:R95)</f>
        <v>29800</v>
      </c>
      <c r="T96" s="5">
        <f>SUM(T90:T95)</f>
        <v>30000</v>
      </c>
    </row>
    <row r="97" spans="3:50" x14ac:dyDescent="0.3">
      <c r="P97" s="1" t="s">
        <v>31</v>
      </c>
    </row>
    <row r="98" spans="3:50" ht="28.8" x14ac:dyDescent="0.3">
      <c r="F98" s="6" t="s">
        <v>40</v>
      </c>
      <c r="G98" s="6" t="s">
        <v>41</v>
      </c>
      <c r="H98" s="6"/>
      <c r="I98" s="6"/>
      <c r="P98" s="1" t="s">
        <v>32</v>
      </c>
      <c r="Q98" s="1" t="s">
        <v>1</v>
      </c>
      <c r="R98" s="21" t="s">
        <v>34</v>
      </c>
      <c r="S98" s="6" t="s">
        <v>35</v>
      </c>
      <c r="T98" s="21" t="s">
        <v>36</v>
      </c>
    </row>
    <row r="99" spans="3:50" x14ac:dyDescent="0.3">
      <c r="F99" s="8" t="str">
        <f>T98</f>
        <v>p_set
(MW)</v>
      </c>
      <c r="G99" s="9">
        <v>0.1</v>
      </c>
      <c r="H99" s="14"/>
      <c r="I99" s="14"/>
      <c r="P99" s="2" t="s">
        <v>33</v>
      </c>
      <c r="Q99" s="2" t="s">
        <v>5</v>
      </c>
      <c r="R99" s="7">
        <f>R$20*(1+G100)</f>
        <v>2000</v>
      </c>
      <c r="S99" s="7">
        <f>S$20</f>
        <v>50</v>
      </c>
      <c r="T99" s="7">
        <f>T$20*(1-G99)</f>
        <v>1800</v>
      </c>
    </row>
    <row r="100" spans="3:50" x14ac:dyDescent="0.3">
      <c r="F100" s="11" t="str">
        <f>R98</f>
        <v>byog_p_nom
(MW)</v>
      </c>
      <c r="G100" s="9">
        <v>0</v>
      </c>
      <c r="H100" s="14"/>
      <c r="I100" s="14"/>
      <c r="P100" s="1" t="s">
        <v>38</v>
      </c>
      <c r="R100" s="5">
        <f>SUM(R96,R99)</f>
        <v>31800</v>
      </c>
      <c r="T100" s="5">
        <f>SUM(T96,T99)</f>
        <v>31800</v>
      </c>
    </row>
    <row r="101" spans="3:50" ht="15" thickBot="1" x14ac:dyDescent="0.35"/>
    <row r="102" spans="3:50" ht="15" thickBot="1" x14ac:dyDescent="0.35">
      <c r="C102" s="26" t="s">
        <v>128</v>
      </c>
      <c r="D102" s="30" t="str">
        <f>"Equilibrium state reliability extended by DC dispatch: "&amp;R117</f>
        <v>Equilibrium state reliability extended by DC dispatch: byog_p_nom
(MW)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9"/>
    </row>
    <row r="103" spans="3:50" x14ac:dyDescent="0.3">
      <c r="C103" s="1" t="s">
        <v>42</v>
      </c>
      <c r="D103" s="1"/>
      <c r="E103" s="33" t="s">
        <v>43</v>
      </c>
      <c r="F103" s="33"/>
    </row>
    <row r="104" spans="3:50" x14ac:dyDescent="0.3">
      <c r="C104" s="1" t="s">
        <v>161</v>
      </c>
      <c r="D104" s="1" t="s">
        <v>159</v>
      </c>
      <c r="E104" s="17" t="s">
        <v>160</v>
      </c>
      <c r="F104" s="1" t="s">
        <v>163</v>
      </c>
    </row>
    <row r="105" spans="3:50" x14ac:dyDescent="0.3">
      <c r="C105" s="32" t="str">
        <f>D107</f>
        <v>Event 5</v>
      </c>
      <c r="D105" s="17" t="s">
        <v>165</v>
      </c>
      <c r="E105" s="1">
        <v>6</v>
      </c>
      <c r="F105" s="20" t="str">
        <f>"CapacityReliabilityExtendedDC_"&amp;R117</f>
        <v>CapacityReliabilityExtendedDC_byog_p_nom
(MW)</v>
      </c>
      <c r="G105" s="20"/>
      <c r="H105" s="20"/>
      <c r="I105" s="20"/>
      <c r="J105" s="20"/>
      <c r="K105" s="20"/>
      <c r="L105" s="20"/>
      <c r="M105" s="20"/>
      <c r="N105" s="20"/>
    </row>
    <row r="106" spans="3:50" x14ac:dyDescent="0.3">
      <c r="D106" s="17" t="s">
        <v>162</v>
      </c>
      <c r="E106" s="1">
        <v>7</v>
      </c>
      <c r="F106" s="8" t="str">
        <f>F105</f>
        <v>CapacityReliabilityExtendedDC_byog_p_nom
(MW)</v>
      </c>
      <c r="G106" s="8"/>
      <c r="H106" s="8"/>
      <c r="I106" s="8"/>
      <c r="J106" s="8"/>
      <c r="K106" s="8"/>
      <c r="L106" s="8"/>
      <c r="M106" s="8"/>
      <c r="N106" s="8"/>
    </row>
    <row r="107" spans="3:50" ht="28.8" x14ac:dyDescent="0.3">
      <c r="C107" s="6" t="s">
        <v>37</v>
      </c>
      <c r="D107" s="6" t="s">
        <v>119</v>
      </c>
      <c r="E107" s="1" t="s">
        <v>125</v>
      </c>
      <c r="F107" s="1" t="s">
        <v>126</v>
      </c>
      <c r="G107" s="6" t="s">
        <v>39</v>
      </c>
      <c r="H107" s="6"/>
      <c r="I107" s="6"/>
      <c r="J107" s="1" t="s">
        <v>28</v>
      </c>
      <c r="P107" s="1" t="s">
        <v>8</v>
      </c>
      <c r="V107" s="1" t="s">
        <v>27</v>
      </c>
    </row>
    <row r="108" spans="3:50" ht="28.8" x14ac:dyDescent="0.3">
      <c r="E108" s="13" t="s">
        <v>95</v>
      </c>
      <c r="F108" s="18" t="str">
        <f>"Neighbor "&amp;P113&amp;" failure:"&amp;G111*100&amp;"%"</f>
        <v>Neighbor SERC_SE failure:20%</v>
      </c>
      <c r="J108" s="1" t="s">
        <v>1</v>
      </c>
      <c r="K108" s="1" t="s">
        <v>16</v>
      </c>
      <c r="L108" s="1" t="s">
        <v>29</v>
      </c>
      <c r="M108" s="6" t="s">
        <v>30</v>
      </c>
      <c r="N108" s="1" t="s">
        <v>19</v>
      </c>
      <c r="P108" s="1" t="s">
        <v>1</v>
      </c>
      <c r="R108" s="4" t="s">
        <v>10</v>
      </c>
      <c r="S108" s="4" t="s">
        <v>11</v>
      </c>
      <c r="T108" s="4" t="s">
        <v>12</v>
      </c>
      <c r="V108" s="1" t="s">
        <v>13</v>
      </c>
      <c r="W108" s="1" t="s">
        <v>14</v>
      </c>
      <c r="X108" s="1" t="s">
        <v>15</v>
      </c>
      <c r="Y108" s="1" t="s">
        <v>16</v>
      </c>
      <c r="Z108" s="1" t="s">
        <v>17</v>
      </c>
      <c r="AA108" s="1" t="s">
        <v>18</v>
      </c>
      <c r="AB108" s="1" t="s">
        <v>19</v>
      </c>
    </row>
    <row r="109" spans="3:50" x14ac:dyDescent="0.3">
      <c r="F109" s="19" t="str">
        <f>"DC BYOG FTM: "&amp;G119*100&amp;"%"</f>
        <v>DC BYOG FTM: 10%</v>
      </c>
      <c r="J109" s="2" t="s">
        <v>2</v>
      </c>
      <c r="K109" s="2">
        <v>10</v>
      </c>
      <c r="L109" s="2">
        <v>0</v>
      </c>
      <c r="M109" s="2">
        <v>345</v>
      </c>
      <c r="N109" s="2" t="s">
        <v>21</v>
      </c>
      <c r="P109" s="2" t="s">
        <v>2</v>
      </c>
      <c r="R109" s="3">
        <v>5000</v>
      </c>
      <c r="S109" s="3">
        <v>40</v>
      </c>
      <c r="T109" s="3">
        <v>5000</v>
      </c>
      <c r="V109" s="2" t="s">
        <v>20</v>
      </c>
      <c r="W109" s="2" t="s">
        <v>2</v>
      </c>
      <c r="X109" s="2" t="s">
        <v>3</v>
      </c>
      <c r="Y109" s="2">
        <v>0.1</v>
      </c>
      <c r="Z109" s="2">
        <v>0.01</v>
      </c>
      <c r="AA109" s="3">
        <v>5000</v>
      </c>
      <c r="AB109" s="2" t="s">
        <v>21</v>
      </c>
    </row>
    <row r="110" spans="3:50" x14ac:dyDescent="0.3">
      <c r="J110" s="2" t="s">
        <v>3</v>
      </c>
      <c r="K110" s="2">
        <v>5</v>
      </c>
      <c r="L110" s="2">
        <v>-8.66</v>
      </c>
      <c r="M110" s="2">
        <v>345</v>
      </c>
      <c r="N110" s="2" t="s">
        <v>21</v>
      </c>
      <c r="P110" s="2" t="s">
        <v>3</v>
      </c>
      <c r="R110" s="3">
        <v>5000</v>
      </c>
      <c r="S110" s="3">
        <v>45</v>
      </c>
      <c r="T110" s="3">
        <v>5000</v>
      </c>
      <c r="V110" s="2" t="s">
        <v>22</v>
      </c>
      <c r="W110" s="2" t="s">
        <v>3</v>
      </c>
      <c r="X110" s="2" t="s">
        <v>4</v>
      </c>
      <c r="Y110" s="2">
        <v>0.1</v>
      </c>
      <c r="Z110" s="2">
        <v>0.01</v>
      </c>
      <c r="AA110" s="3">
        <v>5000</v>
      </c>
      <c r="AB110" s="2" t="s">
        <v>21</v>
      </c>
    </row>
    <row r="111" spans="3:50" x14ac:dyDescent="0.3">
      <c r="F111" s="8" t="str">
        <f>P113</f>
        <v>SERC_SE</v>
      </c>
      <c r="G111" s="9">
        <v>0.2</v>
      </c>
      <c r="J111" s="2" t="s">
        <v>4</v>
      </c>
      <c r="K111" s="2">
        <v>-5</v>
      </c>
      <c r="L111" s="2">
        <v>-8.66</v>
      </c>
      <c r="M111" s="2">
        <v>345</v>
      </c>
      <c r="N111" s="2" t="s">
        <v>21</v>
      </c>
      <c r="P111" s="2" t="s">
        <v>4</v>
      </c>
      <c r="R111" s="3">
        <v>5000</v>
      </c>
      <c r="S111" s="3">
        <v>50</v>
      </c>
      <c r="T111" s="3">
        <v>5000</v>
      </c>
      <c r="V111" s="2" t="s">
        <v>23</v>
      </c>
      <c r="W111" s="2" t="s">
        <v>4</v>
      </c>
      <c r="X111" s="2" t="s">
        <v>7</v>
      </c>
      <c r="Y111" s="2">
        <v>0.1</v>
      </c>
      <c r="Z111" s="2">
        <v>0.01</v>
      </c>
      <c r="AA111" s="3">
        <v>5000</v>
      </c>
      <c r="AB111" s="2" t="s">
        <v>21</v>
      </c>
    </row>
    <row r="112" spans="3:50" x14ac:dyDescent="0.3">
      <c r="F112" s="8" t="str">
        <f>V113</f>
        <v>L_PJM_NE_SERC_SE</v>
      </c>
      <c r="G112" s="9">
        <v>0</v>
      </c>
      <c r="J112" s="2" t="s">
        <v>5</v>
      </c>
      <c r="K112" s="2">
        <v>-10</v>
      </c>
      <c r="L112" s="2">
        <v>0</v>
      </c>
      <c r="M112" s="2">
        <v>345</v>
      </c>
      <c r="N112" s="2" t="s">
        <v>21</v>
      </c>
      <c r="P112" s="2" t="s">
        <v>5</v>
      </c>
      <c r="R112" s="3">
        <v>5000</v>
      </c>
      <c r="S112" s="3">
        <v>60</v>
      </c>
      <c r="T112" s="3">
        <v>5000</v>
      </c>
      <c r="V112" s="20" t="s">
        <v>24</v>
      </c>
      <c r="W112" s="2" t="s">
        <v>4</v>
      </c>
      <c r="X112" s="2" t="s">
        <v>5</v>
      </c>
      <c r="Y112" s="2">
        <v>0.1</v>
      </c>
      <c r="Z112" s="2">
        <v>0.01</v>
      </c>
      <c r="AA112" s="7">
        <f>AA$14*(1-G113)</f>
        <v>5000</v>
      </c>
      <c r="AB112" s="2" t="s">
        <v>21</v>
      </c>
    </row>
    <row r="113" spans="3:50" x14ac:dyDescent="0.3">
      <c r="F113" s="8" t="str">
        <f>V112</f>
        <v>L_SPP_MISO_PJM_NE</v>
      </c>
      <c r="G113" s="9">
        <v>0</v>
      </c>
      <c r="H113" s="14"/>
      <c r="I113" s="14"/>
      <c r="J113" s="2" t="s">
        <v>6</v>
      </c>
      <c r="K113" s="2">
        <v>-5</v>
      </c>
      <c r="L113" s="2">
        <v>8.66</v>
      </c>
      <c r="M113" s="2">
        <v>345</v>
      </c>
      <c r="N113" s="2" t="s">
        <v>21</v>
      </c>
      <c r="P113" s="20" t="s">
        <v>6</v>
      </c>
      <c r="R113" s="7">
        <f>R$15*(1-G111)</f>
        <v>4800</v>
      </c>
      <c r="S113" s="3">
        <v>55</v>
      </c>
      <c r="T113" s="3">
        <v>5000</v>
      </c>
      <c r="V113" s="20" t="s">
        <v>25</v>
      </c>
      <c r="W113" s="2" t="s">
        <v>5</v>
      </c>
      <c r="X113" s="2" t="s">
        <v>6</v>
      </c>
      <c r="Y113" s="2">
        <v>0.1</v>
      </c>
      <c r="Z113" s="2">
        <v>0.01</v>
      </c>
      <c r="AA113" s="7">
        <f>AA$15*(1-G112)</f>
        <v>5000</v>
      </c>
      <c r="AB113" s="2" t="s">
        <v>21</v>
      </c>
    </row>
    <row r="114" spans="3:50" x14ac:dyDescent="0.3">
      <c r="F114" s="2" t="s">
        <v>46</v>
      </c>
      <c r="G114" s="3">
        <v>5</v>
      </c>
      <c r="H114" s="3">
        <v>2040</v>
      </c>
      <c r="I114" s="7">
        <f>H114+(G114*24)</f>
        <v>2160</v>
      </c>
      <c r="J114" s="2" t="s">
        <v>7</v>
      </c>
      <c r="K114" s="2">
        <v>5</v>
      </c>
      <c r="L114" s="2">
        <v>8.66</v>
      </c>
      <c r="M114" s="2">
        <v>345</v>
      </c>
      <c r="N114" s="2" t="s">
        <v>21</v>
      </c>
      <c r="P114" s="2" t="s">
        <v>7</v>
      </c>
      <c r="R114" s="3">
        <v>5000</v>
      </c>
      <c r="S114" s="3">
        <v>50</v>
      </c>
      <c r="T114" s="3">
        <v>5000</v>
      </c>
      <c r="V114" s="2" t="s">
        <v>26</v>
      </c>
      <c r="W114" s="2" t="s">
        <v>6</v>
      </c>
      <c r="X114" s="2" t="s">
        <v>7</v>
      </c>
      <c r="Y114" s="2">
        <v>0.1</v>
      </c>
      <c r="Z114" s="2">
        <v>0.01</v>
      </c>
      <c r="AA114" s="3">
        <v>5000</v>
      </c>
      <c r="AB114" s="2" t="s">
        <v>21</v>
      </c>
    </row>
    <row r="115" spans="3:50" x14ac:dyDescent="0.3">
      <c r="I115" s="7">
        <f>I114-H114</f>
        <v>120</v>
      </c>
      <c r="P115" s="1" t="s">
        <v>9</v>
      </c>
      <c r="R115" s="5">
        <f>SUM(R109:R114)</f>
        <v>29800</v>
      </c>
      <c r="T115" s="5">
        <f>SUM(T109:T114)</f>
        <v>30000</v>
      </c>
    </row>
    <row r="116" spans="3:50" x14ac:dyDescent="0.3">
      <c r="P116" s="1" t="s">
        <v>31</v>
      </c>
    </row>
    <row r="117" spans="3:50" ht="28.8" x14ac:dyDescent="0.3">
      <c r="F117" s="6" t="s">
        <v>40</v>
      </c>
      <c r="G117" s="6" t="s">
        <v>41</v>
      </c>
      <c r="H117" s="6"/>
      <c r="I117" s="6"/>
      <c r="P117" s="1" t="s">
        <v>32</v>
      </c>
      <c r="Q117" s="1" t="s">
        <v>1</v>
      </c>
      <c r="R117" s="21" t="s">
        <v>34</v>
      </c>
      <c r="S117" s="6" t="s">
        <v>35</v>
      </c>
      <c r="T117" s="21" t="s">
        <v>36</v>
      </c>
    </row>
    <row r="118" spans="3:50" x14ac:dyDescent="0.3">
      <c r="F118" s="8" t="str">
        <f>T117</f>
        <v>p_set
(MW)</v>
      </c>
      <c r="G118" s="9">
        <v>0</v>
      </c>
      <c r="H118" s="14"/>
      <c r="I118" s="14"/>
      <c r="M118" s="20"/>
      <c r="P118" s="2" t="s">
        <v>33</v>
      </c>
      <c r="Q118" s="2" t="s">
        <v>5</v>
      </c>
      <c r="R118" s="7">
        <f>R$20*(1+G119)</f>
        <v>2200</v>
      </c>
      <c r="S118" s="7">
        <f>S$20</f>
        <v>50</v>
      </c>
      <c r="T118" s="7">
        <f>T$20*(1-G118)</f>
        <v>2000</v>
      </c>
    </row>
    <row r="119" spans="3:50" x14ac:dyDescent="0.3">
      <c r="F119" s="11" t="str">
        <f>R117</f>
        <v>byog_p_nom
(MW)</v>
      </c>
      <c r="G119" s="9">
        <v>0.1</v>
      </c>
      <c r="H119" s="14"/>
      <c r="I119" s="14"/>
      <c r="P119" s="1" t="s">
        <v>38</v>
      </c>
      <c r="R119" s="5">
        <f>SUM(R115,R118)</f>
        <v>32000</v>
      </c>
      <c r="T119" s="5">
        <f>SUM(T115,T118)</f>
        <v>32000</v>
      </c>
    </row>
    <row r="120" spans="3:50" ht="15" thickBot="1" x14ac:dyDescent="0.35"/>
    <row r="121" spans="3:50" ht="15" thickBot="1" x14ac:dyDescent="0.35">
      <c r="C121" s="26" t="s">
        <v>128</v>
      </c>
      <c r="D121" s="30" t="str">
        <f>"DC "&amp;R136&amp;" offsets reliance on: "&amp;V132</f>
        <v>DC byog_p_nom
(MW) offsets reliance on: L_PJM_NE_SERC_SE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9"/>
    </row>
    <row r="122" spans="3:50" x14ac:dyDescent="0.3">
      <c r="C122" s="1" t="s">
        <v>42</v>
      </c>
      <c r="D122" s="1"/>
      <c r="E122" s="33" t="s">
        <v>43</v>
      </c>
      <c r="F122" s="33"/>
    </row>
    <row r="123" spans="3:50" x14ac:dyDescent="0.3">
      <c r="C123" s="1" t="s">
        <v>161</v>
      </c>
      <c r="D123" s="1" t="s">
        <v>159</v>
      </c>
      <c r="E123" s="17" t="s">
        <v>160</v>
      </c>
      <c r="F123" s="1" t="s">
        <v>163</v>
      </c>
    </row>
    <row r="124" spans="3:50" ht="28.8" x14ac:dyDescent="0.3">
      <c r="C124" s="32" t="str">
        <f>D126&amp;", "&amp;D153&amp;", "&amp;D167</f>
        <v>Event 6, Event 7, Event 8</v>
      </c>
      <c r="D124" s="17" t="s">
        <v>165</v>
      </c>
      <c r="E124" s="1">
        <v>7</v>
      </c>
      <c r="F124" s="20" t="str">
        <f>"DCBYOGOffsets_"&amp;V132&amp;"_TransmissionReliance"</f>
        <v>DCBYOGOffsets_L_PJM_NE_SERC_SE_TransmissionReliance</v>
      </c>
      <c r="G124" s="20"/>
      <c r="H124" s="20"/>
      <c r="I124" s="20"/>
      <c r="J124" s="20"/>
      <c r="K124" s="20"/>
      <c r="L124" s="20"/>
      <c r="M124" s="20"/>
      <c r="N124" s="20"/>
      <c r="P124"/>
    </row>
    <row r="125" spans="3:50" x14ac:dyDescent="0.3">
      <c r="D125" s="17" t="s">
        <v>162</v>
      </c>
      <c r="E125" s="1">
        <v>8</v>
      </c>
      <c r="F125" s="8" t="str">
        <f>F124</f>
        <v>DCBYOGOffsets_L_PJM_NE_SERC_SE_TransmissionReliance</v>
      </c>
      <c r="G125" s="8"/>
      <c r="H125" s="8"/>
      <c r="I125" s="8"/>
      <c r="J125" s="8"/>
      <c r="K125" s="8"/>
      <c r="L125" s="8"/>
      <c r="M125" s="8"/>
      <c r="N125" s="8"/>
    </row>
    <row r="126" spans="3:50" ht="28.8" x14ac:dyDescent="0.3">
      <c r="C126" s="6" t="s">
        <v>37</v>
      </c>
      <c r="D126" s="6" t="s">
        <v>120</v>
      </c>
      <c r="E126" s="1" t="s">
        <v>125</v>
      </c>
      <c r="F126" s="1" t="s">
        <v>126</v>
      </c>
      <c r="G126" s="6" t="s">
        <v>39</v>
      </c>
      <c r="H126" s="6"/>
      <c r="I126" s="6"/>
      <c r="J126" s="1" t="s">
        <v>28</v>
      </c>
      <c r="P126" s="1" t="s">
        <v>8</v>
      </c>
      <c r="V126" s="1" t="s">
        <v>27</v>
      </c>
      <c r="AE126" s="2" t="s">
        <v>47</v>
      </c>
    </row>
    <row r="127" spans="3:50" ht="28.8" x14ac:dyDescent="0.3">
      <c r="E127" s="13" t="s">
        <v>96</v>
      </c>
      <c r="F127" s="18" t="str">
        <f>"Transmission Line: "&amp;V132&amp;" failure: "&amp;G131*100&amp;"%"</f>
        <v>Transmission Line: L_PJM_NE_SERC_SE failure: 100%</v>
      </c>
      <c r="J127" s="1" t="s">
        <v>1</v>
      </c>
      <c r="K127" s="1" t="s">
        <v>16</v>
      </c>
      <c r="L127" s="1" t="s">
        <v>29</v>
      </c>
      <c r="M127" s="6" t="s">
        <v>30</v>
      </c>
      <c r="N127" s="1" t="s">
        <v>19</v>
      </c>
      <c r="P127" s="1" t="s">
        <v>1</v>
      </c>
      <c r="R127" s="4" t="s">
        <v>10</v>
      </c>
      <c r="S127" s="4" t="s">
        <v>11</v>
      </c>
      <c r="T127" s="4" t="s">
        <v>12</v>
      </c>
      <c r="V127" s="1" t="s">
        <v>13</v>
      </c>
      <c r="W127" s="1" t="s">
        <v>14</v>
      </c>
      <c r="X127" s="1" t="s">
        <v>15</v>
      </c>
      <c r="Y127" s="1" t="s">
        <v>16</v>
      </c>
      <c r="Z127" s="1" t="s">
        <v>17</v>
      </c>
      <c r="AA127" s="1" t="s">
        <v>18</v>
      </c>
      <c r="AB127" s="1" t="s">
        <v>19</v>
      </c>
      <c r="AE127" s="2" t="s">
        <v>48</v>
      </c>
    </row>
    <row r="128" spans="3:50" x14ac:dyDescent="0.3">
      <c r="F128" s="19" t="str">
        <f>"DC BYOG FTM: "&amp;R137/R$20*100&amp;"%"</f>
        <v>DC BYOG FTM: 100%</v>
      </c>
      <c r="J128" s="2" t="s">
        <v>2</v>
      </c>
      <c r="K128" s="2">
        <v>10</v>
      </c>
      <c r="L128" s="2">
        <v>0</v>
      </c>
      <c r="M128" s="2">
        <v>345</v>
      </c>
      <c r="N128" s="2" t="s">
        <v>21</v>
      </c>
      <c r="P128" s="2" t="s">
        <v>2</v>
      </c>
      <c r="R128" s="3">
        <v>5000</v>
      </c>
      <c r="S128" s="3">
        <v>40</v>
      </c>
      <c r="T128" s="3">
        <v>5000</v>
      </c>
      <c r="V128" s="2" t="s">
        <v>20</v>
      </c>
      <c r="W128" s="2" t="s">
        <v>2</v>
      </c>
      <c r="X128" s="2" t="s">
        <v>3</v>
      </c>
      <c r="Y128" s="2">
        <v>0.1</v>
      </c>
      <c r="Z128" s="2">
        <v>0.01</v>
      </c>
      <c r="AA128" s="3">
        <v>5000</v>
      </c>
      <c r="AB128" s="2" t="s">
        <v>21</v>
      </c>
      <c r="AE128" s="2" t="s">
        <v>49</v>
      </c>
    </row>
    <row r="129" spans="6:31" x14ac:dyDescent="0.3">
      <c r="J129" s="2" t="s">
        <v>3</v>
      </c>
      <c r="K129" s="2">
        <v>5</v>
      </c>
      <c r="L129" s="2">
        <v>-8.66</v>
      </c>
      <c r="M129" s="2">
        <v>345</v>
      </c>
      <c r="N129" s="2" t="s">
        <v>21</v>
      </c>
      <c r="P129" s="2" t="s">
        <v>3</v>
      </c>
      <c r="R129" s="3">
        <v>5000</v>
      </c>
      <c r="S129" s="3">
        <v>45</v>
      </c>
      <c r="T129" s="3">
        <v>5000</v>
      </c>
      <c r="V129" s="2" t="s">
        <v>22</v>
      </c>
      <c r="W129" s="2" t="s">
        <v>3</v>
      </c>
      <c r="X129" s="2" t="s">
        <v>4</v>
      </c>
      <c r="Y129" s="2">
        <v>0.1</v>
      </c>
      <c r="Z129" s="2">
        <v>0.01</v>
      </c>
      <c r="AA129" s="3">
        <v>5000</v>
      </c>
      <c r="AB129" s="2" t="s">
        <v>21</v>
      </c>
      <c r="AE129" s="2" t="s">
        <v>50</v>
      </c>
    </row>
    <row r="130" spans="6:31" x14ac:dyDescent="0.3">
      <c r="F130" s="8" t="str">
        <f>P132</f>
        <v>SERC_SE</v>
      </c>
      <c r="G130" s="9">
        <v>0</v>
      </c>
      <c r="J130" s="2" t="s">
        <v>4</v>
      </c>
      <c r="K130" s="2">
        <v>-5</v>
      </c>
      <c r="L130" s="2">
        <v>-8.66</v>
      </c>
      <c r="M130" s="2">
        <v>345</v>
      </c>
      <c r="N130" s="2" t="s">
        <v>21</v>
      </c>
      <c r="P130" s="2" t="s">
        <v>4</v>
      </c>
      <c r="R130" s="3">
        <v>5000</v>
      </c>
      <c r="S130" s="3">
        <v>50</v>
      </c>
      <c r="T130" s="3">
        <v>5000</v>
      </c>
      <c r="V130" s="2" t="s">
        <v>23</v>
      </c>
      <c r="W130" s="2" t="s">
        <v>4</v>
      </c>
      <c r="X130" s="2" t="s">
        <v>7</v>
      </c>
      <c r="Y130" s="2">
        <v>0.1</v>
      </c>
      <c r="Z130" s="2">
        <v>0.01</v>
      </c>
      <c r="AA130" s="3">
        <v>5000</v>
      </c>
      <c r="AB130" s="2" t="s">
        <v>21</v>
      </c>
      <c r="AE130" s="2" t="s">
        <v>51</v>
      </c>
    </row>
    <row r="131" spans="6:31" x14ac:dyDescent="0.3">
      <c r="F131" s="8" t="str">
        <f>V132</f>
        <v>L_PJM_NE_SERC_SE</v>
      </c>
      <c r="G131" s="9">
        <v>1</v>
      </c>
      <c r="I131" s="3"/>
      <c r="J131" s="2" t="s">
        <v>5</v>
      </c>
      <c r="K131" s="2">
        <v>-10</v>
      </c>
      <c r="L131" s="2">
        <v>0</v>
      </c>
      <c r="M131" s="2">
        <v>345</v>
      </c>
      <c r="N131" s="2" t="s">
        <v>21</v>
      </c>
      <c r="P131" s="2" t="s">
        <v>5</v>
      </c>
      <c r="R131" s="3">
        <v>5000</v>
      </c>
      <c r="S131" s="3">
        <v>60</v>
      </c>
      <c r="T131" s="3">
        <v>5000</v>
      </c>
      <c r="V131" s="20" t="s">
        <v>24</v>
      </c>
      <c r="W131" s="2" t="s">
        <v>4</v>
      </c>
      <c r="X131" s="2" t="s">
        <v>5</v>
      </c>
      <c r="Y131" s="2">
        <v>0.1</v>
      </c>
      <c r="Z131" s="2">
        <v>0.01</v>
      </c>
      <c r="AA131" s="7">
        <f>AA$14*(1-G132)</f>
        <v>5000</v>
      </c>
      <c r="AB131" s="2" t="s">
        <v>21</v>
      </c>
      <c r="AE131" s="2" t="s">
        <v>52</v>
      </c>
    </row>
    <row r="132" spans="6:31" x14ac:dyDescent="0.3">
      <c r="F132" s="8" t="str">
        <f>V131</f>
        <v>L_SPP_MISO_PJM_NE</v>
      </c>
      <c r="G132" s="9">
        <v>0</v>
      </c>
      <c r="H132" s="14"/>
      <c r="I132" s="3"/>
      <c r="J132" s="2" t="s">
        <v>6</v>
      </c>
      <c r="K132" s="2">
        <v>-5</v>
      </c>
      <c r="L132" s="2">
        <v>8.66</v>
      </c>
      <c r="M132" s="2">
        <v>345</v>
      </c>
      <c r="N132" s="2" t="s">
        <v>21</v>
      </c>
      <c r="P132" s="20" t="s">
        <v>6</v>
      </c>
      <c r="R132" s="7">
        <f>R$15*(1-G130)</f>
        <v>6000</v>
      </c>
      <c r="S132" s="3">
        <v>55</v>
      </c>
      <c r="T132" s="3">
        <v>5000</v>
      </c>
      <c r="V132" s="20" t="s">
        <v>25</v>
      </c>
      <c r="W132" s="2" t="s">
        <v>5</v>
      </c>
      <c r="X132" s="2" t="s">
        <v>6</v>
      </c>
      <c r="Y132" s="2">
        <v>0.1</v>
      </c>
      <c r="Z132" s="2">
        <v>0.01</v>
      </c>
      <c r="AA132" s="7">
        <f>AA$15*(1-G131)</f>
        <v>0</v>
      </c>
      <c r="AB132" s="2" t="s">
        <v>21</v>
      </c>
      <c r="AE132" s="2" t="s">
        <v>53</v>
      </c>
    </row>
    <row r="133" spans="6:31" x14ac:dyDescent="0.3">
      <c r="F133" s="2" t="s">
        <v>46</v>
      </c>
      <c r="G133" s="3">
        <v>5</v>
      </c>
      <c r="H133" s="3">
        <v>2460</v>
      </c>
      <c r="I133" s="7">
        <f>H133+(G133*24)</f>
        <v>2580</v>
      </c>
      <c r="J133" s="2" t="s">
        <v>7</v>
      </c>
      <c r="K133" s="2">
        <v>5</v>
      </c>
      <c r="L133" s="2">
        <v>8.66</v>
      </c>
      <c r="M133" s="2">
        <v>345</v>
      </c>
      <c r="N133" s="2" t="s">
        <v>21</v>
      </c>
      <c r="P133" s="2" t="s">
        <v>7</v>
      </c>
      <c r="R133" s="3">
        <v>5000</v>
      </c>
      <c r="S133" s="3">
        <v>50</v>
      </c>
      <c r="T133" s="3">
        <v>5000</v>
      </c>
      <c r="V133" s="2" t="s">
        <v>26</v>
      </c>
      <c r="W133" s="2" t="s">
        <v>6</v>
      </c>
      <c r="X133" s="2" t="s">
        <v>7</v>
      </c>
      <c r="Y133" s="2">
        <v>0.1</v>
      </c>
      <c r="Z133" s="2">
        <v>0.01</v>
      </c>
      <c r="AA133" s="3">
        <v>5000</v>
      </c>
      <c r="AB133" s="2" t="s">
        <v>21</v>
      </c>
      <c r="AE133" s="2" t="s">
        <v>54</v>
      </c>
    </row>
    <row r="134" spans="6:31" x14ac:dyDescent="0.3">
      <c r="I134" s="7">
        <f>I133-H133</f>
        <v>120</v>
      </c>
      <c r="P134" s="1" t="s">
        <v>9</v>
      </c>
      <c r="R134" s="5">
        <f>SUM(R128:R133)</f>
        <v>31000</v>
      </c>
      <c r="T134" s="5">
        <f>SUM(T128:T133)</f>
        <v>30000</v>
      </c>
      <c r="AE134" s="2" t="s">
        <v>55</v>
      </c>
    </row>
    <row r="135" spans="6:31" x14ac:dyDescent="0.3">
      <c r="P135" s="1" t="s">
        <v>31</v>
      </c>
      <c r="AE135" s="2" t="s">
        <v>56</v>
      </c>
    </row>
    <row r="136" spans="6:31" ht="28.8" x14ac:dyDescent="0.3">
      <c r="F136" s="6" t="s">
        <v>40</v>
      </c>
      <c r="G136" s="6" t="s">
        <v>41</v>
      </c>
      <c r="H136" s="6"/>
      <c r="I136" s="6"/>
      <c r="P136" s="1" t="s">
        <v>32</v>
      </c>
      <c r="Q136" s="1" t="s">
        <v>1</v>
      </c>
      <c r="R136" s="21" t="s">
        <v>34</v>
      </c>
      <c r="S136" s="6" t="s">
        <v>35</v>
      </c>
      <c r="T136" s="21" t="s">
        <v>36</v>
      </c>
      <c r="AE136" s="2" t="s">
        <v>57</v>
      </c>
    </row>
    <row r="137" spans="6:31" x14ac:dyDescent="0.3">
      <c r="F137" s="8" t="str">
        <f>T136</f>
        <v>p_set
(MW)</v>
      </c>
      <c r="G137" s="9">
        <v>0</v>
      </c>
      <c r="H137" s="14"/>
      <c r="I137" s="14"/>
      <c r="P137" s="2" t="s">
        <v>33</v>
      </c>
      <c r="Q137" s="2" t="s">
        <v>5</v>
      </c>
      <c r="R137" s="7">
        <f>R$20*(1+G138)</f>
        <v>2000</v>
      </c>
      <c r="S137" s="7">
        <f>S$20</f>
        <v>50</v>
      </c>
      <c r="T137" s="7">
        <f>T$20*(1-G137)</f>
        <v>2000</v>
      </c>
      <c r="AE137" s="2" t="s">
        <v>58</v>
      </c>
    </row>
    <row r="138" spans="6:31" x14ac:dyDescent="0.3">
      <c r="F138" s="11" t="str">
        <f>R136</f>
        <v>byog_p_nom
(MW)</v>
      </c>
      <c r="G138" s="9">
        <v>0</v>
      </c>
      <c r="H138" s="14"/>
      <c r="I138" s="14"/>
      <c r="P138" s="1" t="s">
        <v>38</v>
      </c>
      <c r="R138" s="5">
        <f>SUM(R134,R137)</f>
        <v>33000</v>
      </c>
      <c r="T138" s="5">
        <f>SUM(T134,T137)</f>
        <v>32000</v>
      </c>
      <c r="AE138" s="2" t="s">
        <v>59</v>
      </c>
    </row>
    <row r="139" spans="6:31" x14ac:dyDescent="0.3">
      <c r="AE139" s="2" t="s">
        <v>60</v>
      </c>
    </row>
    <row r="140" spans="6:31" x14ac:dyDescent="0.3">
      <c r="AE140" s="2" t="s">
        <v>61</v>
      </c>
    </row>
    <row r="141" spans="6:31" x14ac:dyDescent="0.3">
      <c r="AE141" s="2" t="s">
        <v>62</v>
      </c>
    </row>
    <row r="142" spans="6:31" x14ac:dyDescent="0.3">
      <c r="AE142" s="2" t="s">
        <v>63</v>
      </c>
    </row>
    <row r="143" spans="6:31" x14ac:dyDescent="0.3">
      <c r="AE143" s="2" t="s">
        <v>64</v>
      </c>
    </row>
    <row r="144" spans="6:31" x14ac:dyDescent="0.3">
      <c r="AE144" s="2" t="s">
        <v>65</v>
      </c>
    </row>
    <row r="145" spans="3:31" x14ac:dyDescent="0.3">
      <c r="AE145" s="2" t="s">
        <v>66</v>
      </c>
    </row>
    <row r="146" spans="3:31" x14ac:dyDescent="0.3">
      <c r="AE146" s="2" t="s">
        <v>67</v>
      </c>
    </row>
    <row r="147" spans="3:31" x14ac:dyDescent="0.3">
      <c r="AE147" s="2" t="s">
        <v>68</v>
      </c>
    </row>
    <row r="148" spans="3:31" x14ac:dyDescent="0.3">
      <c r="AE148" s="2" t="s">
        <v>69</v>
      </c>
    </row>
    <row r="149" spans="3:31" x14ac:dyDescent="0.3">
      <c r="AE149" s="2" t="s">
        <v>70</v>
      </c>
    </row>
    <row r="150" spans="3:31" x14ac:dyDescent="0.3">
      <c r="AE150" s="2" t="s">
        <v>71</v>
      </c>
    </row>
    <row r="151" spans="3:31" x14ac:dyDescent="0.3">
      <c r="AE151" s="2" t="s">
        <v>72</v>
      </c>
    </row>
    <row r="153" spans="3:31" ht="28.8" x14ac:dyDescent="0.3">
      <c r="C153" s="6" t="s">
        <v>37</v>
      </c>
      <c r="D153" s="6" t="s">
        <v>121</v>
      </c>
      <c r="E153" s="1" t="s">
        <v>125</v>
      </c>
      <c r="F153" s="1" t="s">
        <v>126</v>
      </c>
      <c r="G153" s="6" t="s">
        <v>39</v>
      </c>
      <c r="H153" s="6"/>
      <c r="I153" s="6"/>
      <c r="J153" s="1" t="s">
        <v>28</v>
      </c>
      <c r="P153" s="1" t="s">
        <v>8</v>
      </c>
      <c r="V153" s="1" t="s">
        <v>27</v>
      </c>
      <c r="AE153" s="2" t="s">
        <v>47</v>
      </c>
    </row>
    <row r="154" spans="3:31" ht="28.8" x14ac:dyDescent="0.3">
      <c r="E154" s="13" t="s">
        <v>97</v>
      </c>
      <c r="F154" s="18" t="str">
        <f>"Transmission Line: "&amp;V159&amp;" failure: "&amp;G158*100&amp;"%"</f>
        <v>Transmission Line: L_PJM_NE_SERC_SE failure: 100%</v>
      </c>
      <c r="J154" s="1" t="s">
        <v>1</v>
      </c>
      <c r="K154" s="1" t="s">
        <v>16</v>
      </c>
      <c r="L154" s="1" t="s">
        <v>29</v>
      </c>
      <c r="M154" s="6" t="s">
        <v>30</v>
      </c>
      <c r="N154" s="1" t="s">
        <v>19</v>
      </c>
      <c r="P154" s="1" t="s">
        <v>1</v>
      </c>
      <c r="R154" s="4" t="s">
        <v>10</v>
      </c>
      <c r="S154" s="4" t="s">
        <v>11</v>
      </c>
      <c r="T154" s="4" t="s">
        <v>12</v>
      </c>
      <c r="V154" s="1" t="s">
        <v>13</v>
      </c>
      <c r="W154" s="1" t="s">
        <v>14</v>
      </c>
      <c r="X154" s="1" t="s">
        <v>15</v>
      </c>
      <c r="Y154" s="1" t="s">
        <v>16</v>
      </c>
      <c r="Z154" s="1" t="s">
        <v>17</v>
      </c>
      <c r="AA154" s="1" t="s">
        <v>18</v>
      </c>
      <c r="AB154" s="1" t="s">
        <v>19</v>
      </c>
      <c r="AE154" s="2" t="s">
        <v>48</v>
      </c>
    </row>
    <row r="155" spans="3:31" x14ac:dyDescent="0.3">
      <c r="F155" s="19" t="str">
        <f>"DC BYOG FTM: "&amp;R164/R$20*100&amp;"%"</f>
        <v>DC BYOG FTM: 25%</v>
      </c>
      <c r="J155" s="2" t="s">
        <v>2</v>
      </c>
      <c r="K155" s="2">
        <v>10</v>
      </c>
      <c r="L155" s="2">
        <v>0</v>
      </c>
      <c r="M155" s="2">
        <v>345</v>
      </c>
      <c r="N155" s="2" t="s">
        <v>21</v>
      </c>
      <c r="P155" s="2" t="s">
        <v>2</v>
      </c>
      <c r="R155" s="3">
        <v>5000</v>
      </c>
      <c r="S155" s="3">
        <v>40</v>
      </c>
      <c r="T155" s="3">
        <v>5000</v>
      </c>
      <c r="V155" s="2" t="s">
        <v>20</v>
      </c>
      <c r="W155" s="2" t="s">
        <v>2</v>
      </c>
      <c r="X155" s="2" t="s">
        <v>3</v>
      </c>
      <c r="Y155" s="2">
        <v>0.1</v>
      </c>
      <c r="Z155" s="2">
        <v>0.01</v>
      </c>
      <c r="AA155" s="3">
        <v>5000</v>
      </c>
      <c r="AB155" s="2" t="s">
        <v>21</v>
      </c>
      <c r="AE155" s="2" t="s">
        <v>73</v>
      </c>
    </row>
    <row r="156" spans="3:31" x14ac:dyDescent="0.3">
      <c r="J156" s="2" t="s">
        <v>3</v>
      </c>
      <c r="K156" s="2">
        <v>5</v>
      </c>
      <c r="L156" s="2">
        <v>-8.66</v>
      </c>
      <c r="M156" s="2">
        <v>345</v>
      </c>
      <c r="N156" s="2" t="s">
        <v>21</v>
      </c>
      <c r="P156" s="2" t="s">
        <v>3</v>
      </c>
      <c r="R156" s="3">
        <v>5000</v>
      </c>
      <c r="S156" s="3">
        <v>45</v>
      </c>
      <c r="T156" s="3">
        <v>5000</v>
      </c>
      <c r="V156" s="2" t="s">
        <v>22</v>
      </c>
      <c r="W156" s="2" t="s">
        <v>3</v>
      </c>
      <c r="X156" s="2" t="s">
        <v>4</v>
      </c>
      <c r="Y156" s="2">
        <v>0.1</v>
      </c>
      <c r="Z156" s="2">
        <v>0.01</v>
      </c>
      <c r="AA156" s="3">
        <v>5000</v>
      </c>
      <c r="AB156" s="2" t="s">
        <v>21</v>
      </c>
      <c r="AE156" s="2" t="s">
        <v>74</v>
      </c>
    </row>
    <row r="157" spans="3:31" x14ac:dyDescent="0.3">
      <c r="F157" s="8" t="str">
        <f>P159</f>
        <v>SERC_SE</v>
      </c>
      <c r="G157" s="9">
        <v>0</v>
      </c>
      <c r="J157" s="2" t="s">
        <v>4</v>
      </c>
      <c r="K157" s="2">
        <v>-5</v>
      </c>
      <c r="L157" s="2">
        <v>-8.66</v>
      </c>
      <c r="M157" s="2">
        <v>345</v>
      </c>
      <c r="N157" s="2" t="s">
        <v>21</v>
      </c>
      <c r="P157" s="2" t="s">
        <v>4</v>
      </c>
      <c r="R157" s="3">
        <v>5000</v>
      </c>
      <c r="S157" s="3">
        <v>50</v>
      </c>
      <c r="T157" s="3">
        <v>5000</v>
      </c>
      <c r="V157" s="2" t="s">
        <v>23</v>
      </c>
      <c r="W157" s="2" t="s">
        <v>4</v>
      </c>
      <c r="X157" s="2" t="s">
        <v>7</v>
      </c>
      <c r="Y157" s="2">
        <v>0.1</v>
      </c>
      <c r="Z157" s="2">
        <v>0.01</v>
      </c>
      <c r="AA157" s="3">
        <v>5000</v>
      </c>
      <c r="AB157" s="2" t="s">
        <v>21</v>
      </c>
      <c r="AE157" s="2" t="s">
        <v>51</v>
      </c>
    </row>
    <row r="158" spans="3:31" x14ac:dyDescent="0.3">
      <c r="F158" s="8" t="str">
        <f>V159</f>
        <v>L_PJM_NE_SERC_SE</v>
      </c>
      <c r="G158" s="9">
        <v>1</v>
      </c>
      <c r="J158" s="2" t="s">
        <v>5</v>
      </c>
      <c r="K158" s="2">
        <v>-10</v>
      </c>
      <c r="L158" s="2">
        <v>0</v>
      </c>
      <c r="M158" s="2">
        <v>345</v>
      </c>
      <c r="N158" s="2" t="s">
        <v>21</v>
      </c>
      <c r="P158" s="2" t="s">
        <v>5</v>
      </c>
      <c r="R158" s="3">
        <v>5000</v>
      </c>
      <c r="S158" s="3">
        <v>60</v>
      </c>
      <c r="T158" s="3">
        <v>5000</v>
      </c>
      <c r="V158" s="20" t="s">
        <v>24</v>
      </c>
      <c r="W158" s="2" t="s">
        <v>4</v>
      </c>
      <c r="X158" s="2" t="s">
        <v>5</v>
      </c>
      <c r="Y158" s="2">
        <v>0.1</v>
      </c>
      <c r="Z158" s="2">
        <v>0.01</v>
      </c>
      <c r="AA158" s="7">
        <f>AA$14*(1-G159)</f>
        <v>5000</v>
      </c>
      <c r="AB158" s="2" t="s">
        <v>21</v>
      </c>
      <c r="AE158" s="2" t="s">
        <v>75</v>
      </c>
    </row>
    <row r="159" spans="3:31" x14ac:dyDescent="0.3">
      <c r="F159" s="8" t="str">
        <f>V158</f>
        <v>L_SPP_MISO_PJM_NE</v>
      </c>
      <c r="G159" s="9">
        <v>0</v>
      </c>
      <c r="H159" s="14"/>
      <c r="I159" s="14"/>
      <c r="J159" s="2" t="s">
        <v>6</v>
      </c>
      <c r="K159" s="2">
        <v>-5</v>
      </c>
      <c r="L159" s="2">
        <v>8.66</v>
      </c>
      <c r="M159" s="2">
        <v>345</v>
      </c>
      <c r="N159" s="2" t="s">
        <v>21</v>
      </c>
      <c r="P159" s="20" t="s">
        <v>6</v>
      </c>
      <c r="R159" s="7">
        <f>R$15*(1-G157)</f>
        <v>6000</v>
      </c>
      <c r="S159" s="3">
        <v>55</v>
      </c>
      <c r="T159" s="3">
        <v>5000</v>
      </c>
      <c r="V159" s="20" t="s">
        <v>25</v>
      </c>
      <c r="W159" s="2" t="s">
        <v>5</v>
      </c>
      <c r="X159" s="2" t="s">
        <v>6</v>
      </c>
      <c r="Y159" s="2">
        <v>0.1</v>
      </c>
      <c r="Z159" s="2">
        <v>0.01</v>
      </c>
      <c r="AA159" s="7">
        <f>AA$15*(1-G158)</f>
        <v>0</v>
      </c>
      <c r="AB159" s="2" t="s">
        <v>21</v>
      </c>
      <c r="AE159" s="2" t="s">
        <v>76</v>
      </c>
    </row>
    <row r="160" spans="3:31" x14ac:dyDescent="0.3">
      <c r="F160" s="2" t="s">
        <v>46</v>
      </c>
      <c r="G160" s="3">
        <v>5</v>
      </c>
      <c r="H160" s="3">
        <v>2880</v>
      </c>
      <c r="I160" s="7">
        <f>H160+(G160*24)</f>
        <v>3000</v>
      </c>
      <c r="J160" s="2" t="s">
        <v>7</v>
      </c>
      <c r="K160" s="2">
        <v>5</v>
      </c>
      <c r="L160" s="2">
        <v>8.66</v>
      </c>
      <c r="M160" s="2">
        <v>345</v>
      </c>
      <c r="N160" s="2" t="s">
        <v>21</v>
      </c>
      <c r="P160" s="2" t="s">
        <v>7</v>
      </c>
      <c r="R160" s="3">
        <v>5000</v>
      </c>
      <c r="S160" s="3">
        <v>50</v>
      </c>
      <c r="T160" s="3">
        <v>5000</v>
      </c>
      <c r="V160" s="2" t="s">
        <v>26</v>
      </c>
      <c r="W160" s="2" t="s">
        <v>6</v>
      </c>
      <c r="X160" s="2" t="s">
        <v>7</v>
      </c>
      <c r="Y160" s="2">
        <v>0.1</v>
      </c>
      <c r="Z160" s="2">
        <v>0.01</v>
      </c>
      <c r="AA160" s="3">
        <v>5000</v>
      </c>
      <c r="AB160" s="2" t="s">
        <v>21</v>
      </c>
      <c r="AE160" s="2" t="s">
        <v>77</v>
      </c>
    </row>
    <row r="161" spans="3:31" x14ac:dyDescent="0.3">
      <c r="I161" s="7">
        <f>I160-H160</f>
        <v>120</v>
      </c>
      <c r="P161" s="1" t="s">
        <v>9</v>
      </c>
      <c r="R161" s="5">
        <f>SUM(R155:R160)</f>
        <v>31000</v>
      </c>
      <c r="T161" s="5">
        <f>SUM(T155:T160)</f>
        <v>30000</v>
      </c>
      <c r="AE161" s="2" t="s">
        <v>70</v>
      </c>
    </row>
    <row r="162" spans="3:31" x14ac:dyDescent="0.3">
      <c r="P162" s="1" t="s">
        <v>31</v>
      </c>
      <c r="AE162" s="2" t="s">
        <v>72</v>
      </c>
    </row>
    <row r="163" spans="3:31" ht="28.8" x14ac:dyDescent="0.3">
      <c r="F163" s="6" t="s">
        <v>40</v>
      </c>
      <c r="G163" s="6" t="s">
        <v>41</v>
      </c>
      <c r="H163" s="6"/>
      <c r="I163" s="6"/>
      <c r="P163" s="1" t="s">
        <v>32</v>
      </c>
      <c r="Q163" s="1" t="s">
        <v>1</v>
      </c>
      <c r="R163" s="21" t="s">
        <v>34</v>
      </c>
      <c r="S163" s="6" t="s">
        <v>35</v>
      </c>
      <c r="T163" s="21" t="s">
        <v>36</v>
      </c>
    </row>
    <row r="164" spans="3:31" x14ac:dyDescent="0.3">
      <c r="F164" s="8" t="str">
        <f>T163</f>
        <v>p_set
(MW)</v>
      </c>
      <c r="G164" s="9">
        <v>0</v>
      </c>
      <c r="H164" s="14"/>
      <c r="I164" s="14"/>
      <c r="P164" s="2" t="s">
        <v>33</v>
      </c>
      <c r="Q164" s="2" t="s">
        <v>5</v>
      </c>
      <c r="R164" s="7">
        <f>R$20*(1+G165)</f>
        <v>500</v>
      </c>
      <c r="S164" s="7">
        <f>S$20</f>
        <v>50</v>
      </c>
      <c r="T164" s="7">
        <f>T$20*(1-G164)</f>
        <v>2000</v>
      </c>
    </row>
    <row r="165" spans="3:31" x14ac:dyDescent="0.3">
      <c r="F165" s="11" t="str">
        <f>R163</f>
        <v>byog_p_nom
(MW)</v>
      </c>
      <c r="G165" s="9">
        <v>-0.75</v>
      </c>
      <c r="H165" s="14"/>
      <c r="I165" s="14"/>
      <c r="P165" s="1" t="s">
        <v>38</v>
      </c>
      <c r="R165" s="5">
        <f>SUM(R161,R164)</f>
        <v>31500</v>
      </c>
      <c r="T165" s="5">
        <f>SUM(T161,T164)</f>
        <v>32000</v>
      </c>
    </row>
    <row r="167" spans="3:31" ht="28.8" x14ac:dyDescent="0.3">
      <c r="C167" s="6" t="s">
        <v>37</v>
      </c>
      <c r="D167" s="6" t="s">
        <v>122</v>
      </c>
      <c r="E167" s="1" t="s">
        <v>125</v>
      </c>
      <c r="F167" s="1" t="s">
        <v>126</v>
      </c>
      <c r="G167" s="6" t="s">
        <v>39</v>
      </c>
      <c r="H167" s="6"/>
      <c r="I167" s="6"/>
      <c r="J167" s="1" t="s">
        <v>28</v>
      </c>
      <c r="P167" s="1" t="s">
        <v>8</v>
      </c>
      <c r="V167" s="1" t="s">
        <v>27</v>
      </c>
      <c r="AE167" s="2" t="s">
        <v>47</v>
      </c>
    </row>
    <row r="168" spans="3:31" ht="28.8" x14ac:dyDescent="0.3">
      <c r="E168" s="13" t="s">
        <v>98</v>
      </c>
      <c r="F168" s="18" t="str">
        <f>"Transmission Line: "&amp;V173&amp;" failure: "&amp;G172*100&amp;"%"</f>
        <v>Transmission Line: L_PJM_NE_SERC_SE failure: 100%</v>
      </c>
      <c r="J168" s="1" t="s">
        <v>1</v>
      </c>
      <c r="K168" s="1" t="s">
        <v>16</v>
      </c>
      <c r="L168" s="1" t="s">
        <v>29</v>
      </c>
      <c r="M168" s="6" t="s">
        <v>30</v>
      </c>
      <c r="N168" s="1" t="s">
        <v>19</v>
      </c>
      <c r="P168" s="1" t="s">
        <v>1</v>
      </c>
      <c r="R168" s="4" t="s">
        <v>10</v>
      </c>
      <c r="S168" s="4" t="s">
        <v>11</v>
      </c>
      <c r="T168" s="4" t="s">
        <v>12</v>
      </c>
      <c r="V168" s="1" t="s">
        <v>13</v>
      </c>
      <c r="W168" s="1" t="s">
        <v>14</v>
      </c>
      <c r="X168" s="1" t="s">
        <v>15</v>
      </c>
      <c r="Y168" s="1" t="s">
        <v>16</v>
      </c>
      <c r="Z168" s="1" t="s">
        <v>17</v>
      </c>
      <c r="AA168" s="1" t="s">
        <v>18</v>
      </c>
      <c r="AB168" s="1" t="s">
        <v>19</v>
      </c>
      <c r="AE168" s="2" t="s">
        <v>48</v>
      </c>
    </row>
    <row r="169" spans="3:31" x14ac:dyDescent="0.3">
      <c r="F169" s="19" t="str">
        <f>"DC BYOG FTM: "&amp;R178/R$20*100&amp;"%"</f>
        <v>DC BYOG FTM: 95%</v>
      </c>
      <c r="J169" s="2" t="s">
        <v>2</v>
      </c>
      <c r="K169" s="2">
        <v>10</v>
      </c>
      <c r="L169" s="2">
        <v>0</v>
      </c>
      <c r="M169" s="2">
        <v>345</v>
      </c>
      <c r="N169" s="2" t="s">
        <v>21</v>
      </c>
      <c r="P169" s="2" t="s">
        <v>2</v>
      </c>
      <c r="R169" s="3">
        <v>5000</v>
      </c>
      <c r="S169" s="3">
        <v>40</v>
      </c>
      <c r="T169" s="3">
        <v>5000</v>
      </c>
      <c r="V169" s="2" t="s">
        <v>20</v>
      </c>
      <c r="W169" s="2" t="s">
        <v>2</v>
      </c>
      <c r="X169" s="2" t="s">
        <v>3</v>
      </c>
      <c r="Y169" s="2">
        <v>0.1</v>
      </c>
      <c r="Z169" s="2">
        <v>0.01</v>
      </c>
      <c r="AA169" s="3">
        <v>5000</v>
      </c>
      <c r="AB169" s="2" t="s">
        <v>21</v>
      </c>
      <c r="AE169" s="2" t="s">
        <v>78</v>
      </c>
    </row>
    <row r="170" spans="3:31" x14ac:dyDescent="0.3">
      <c r="J170" s="2" t="s">
        <v>3</v>
      </c>
      <c r="K170" s="2">
        <v>5</v>
      </c>
      <c r="L170" s="2">
        <v>-8.66</v>
      </c>
      <c r="M170" s="2">
        <v>345</v>
      </c>
      <c r="N170" s="2" t="s">
        <v>21</v>
      </c>
      <c r="P170" s="2" t="s">
        <v>3</v>
      </c>
      <c r="R170" s="3">
        <v>5000</v>
      </c>
      <c r="S170" s="3">
        <v>45</v>
      </c>
      <c r="T170" s="3">
        <v>5000</v>
      </c>
      <c r="V170" s="2" t="s">
        <v>22</v>
      </c>
      <c r="W170" s="2" t="s">
        <v>3</v>
      </c>
      <c r="X170" s="2" t="s">
        <v>4</v>
      </c>
      <c r="Y170" s="2">
        <v>0.1</v>
      </c>
      <c r="Z170" s="2">
        <v>0.01</v>
      </c>
      <c r="AA170" s="3">
        <v>5000</v>
      </c>
      <c r="AB170" s="2" t="s">
        <v>21</v>
      </c>
      <c r="AE170" s="2" t="s">
        <v>74</v>
      </c>
    </row>
    <row r="171" spans="3:31" x14ac:dyDescent="0.3">
      <c r="F171" s="8" t="str">
        <f>P173</f>
        <v>SERC_SE</v>
      </c>
      <c r="G171" s="9">
        <v>0</v>
      </c>
      <c r="J171" s="2" t="s">
        <v>4</v>
      </c>
      <c r="K171" s="2">
        <v>-5</v>
      </c>
      <c r="L171" s="2">
        <v>-8.66</v>
      </c>
      <c r="M171" s="2">
        <v>345</v>
      </c>
      <c r="N171" s="2" t="s">
        <v>21</v>
      </c>
      <c r="P171" s="2" t="s">
        <v>4</v>
      </c>
      <c r="R171" s="3">
        <v>5000</v>
      </c>
      <c r="S171" s="3">
        <v>50</v>
      </c>
      <c r="T171" s="3">
        <v>5000</v>
      </c>
      <c r="V171" s="2" t="s">
        <v>23</v>
      </c>
      <c r="W171" s="2" t="s">
        <v>4</v>
      </c>
      <c r="X171" s="2" t="s">
        <v>7</v>
      </c>
      <c r="Y171" s="2">
        <v>0.1</v>
      </c>
      <c r="Z171" s="2">
        <v>0.01</v>
      </c>
      <c r="AA171" s="3">
        <v>5000</v>
      </c>
      <c r="AB171" s="2" t="s">
        <v>21</v>
      </c>
      <c r="AE171" s="2" t="s">
        <v>51</v>
      </c>
    </row>
    <row r="172" spans="3:31" x14ac:dyDescent="0.3">
      <c r="F172" s="8" t="str">
        <f>V173</f>
        <v>L_PJM_NE_SERC_SE</v>
      </c>
      <c r="G172" s="9">
        <v>1</v>
      </c>
      <c r="J172" s="2" t="s">
        <v>5</v>
      </c>
      <c r="K172" s="2">
        <v>-10</v>
      </c>
      <c r="L172" s="2">
        <v>0</v>
      </c>
      <c r="M172" s="2">
        <v>345</v>
      </c>
      <c r="N172" s="2" t="s">
        <v>21</v>
      </c>
      <c r="P172" s="2" t="s">
        <v>5</v>
      </c>
      <c r="R172" s="3">
        <v>5000</v>
      </c>
      <c r="S172" s="3">
        <v>60</v>
      </c>
      <c r="T172" s="3">
        <v>5000</v>
      </c>
      <c r="V172" s="20" t="s">
        <v>24</v>
      </c>
      <c r="W172" s="2" t="s">
        <v>4</v>
      </c>
      <c r="X172" s="2" t="s">
        <v>5</v>
      </c>
      <c r="Y172" s="2">
        <v>0.1</v>
      </c>
      <c r="Z172" s="2">
        <v>0.01</v>
      </c>
      <c r="AA172" s="7">
        <f>AA$14*(1-G173)</f>
        <v>5000</v>
      </c>
      <c r="AB172" s="2" t="s">
        <v>21</v>
      </c>
      <c r="AE172" s="2" t="s">
        <v>75</v>
      </c>
    </row>
    <row r="173" spans="3:31" x14ac:dyDescent="0.3">
      <c r="F173" s="8" t="str">
        <f>V172</f>
        <v>L_SPP_MISO_PJM_NE</v>
      </c>
      <c r="G173" s="9">
        <v>0</v>
      </c>
      <c r="H173" s="14"/>
      <c r="I173" s="14"/>
      <c r="J173" s="2" t="s">
        <v>6</v>
      </c>
      <c r="K173" s="2">
        <v>-5</v>
      </c>
      <c r="L173" s="2">
        <v>8.66</v>
      </c>
      <c r="M173" s="2">
        <v>345</v>
      </c>
      <c r="N173" s="2" t="s">
        <v>21</v>
      </c>
      <c r="P173" s="20" t="s">
        <v>6</v>
      </c>
      <c r="R173" s="7">
        <f>R$15*(1-G171)</f>
        <v>6000</v>
      </c>
      <c r="S173" s="3">
        <v>55</v>
      </c>
      <c r="T173" s="3">
        <v>5000</v>
      </c>
      <c r="V173" s="20" t="s">
        <v>25</v>
      </c>
      <c r="W173" s="2" t="s">
        <v>5</v>
      </c>
      <c r="X173" s="2" t="s">
        <v>6</v>
      </c>
      <c r="Y173" s="2">
        <v>0.1</v>
      </c>
      <c r="Z173" s="2">
        <v>0.01</v>
      </c>
      <c r="AA173" s="7">
        <f>AA$15*(1-G172)</f>
        <v>0</v>
      </c>
      <c r="AB173" s="2" t="s">
        <v>21</v>
      </c>
      <c r="AE173" s="2" t="s">
        <v>76</v>
      </c>
    </row>
    <row r="174" spans="3:31" x14ac:dyDescent="0.3">
      <c r="F174" s="2" t="s">
        <v>46</v>
      </c>
      <c r="G174" s="3">
        <v>5</v>
      </c>
      <c r="H174" s="3">
        <v>3300</v>
      </c>
      <c r="I174" s="7">
        <f>H174+(G174*24)</f>
        <v>3420</v>
      </c>
      <c r="J174" s="2" t="s">
        <v>7</v>
      </c>
      <c r="K174" s="2">
        <v>5</v>
      </c>
      <c r="L174" s="2">
        <v>8.66</v>
      </c>
      <c r="M174" s="2">
        <v>345</v>
      </c>
      <c r="N174" s="2" t="s">
        <v>21</v>
      </c>
      <c r="P174" s="2" t="s">
        <v>7</v>
      </c>
      <c r="R174" s="3">
        <v>5000</v>
      </c>
      <c r="S174" s="3">
        <v>50</v>
      </c>
      <c r="T174" s="3">
        <v>5000</v>
      </c>
      <c r="V174" s="2" t="s">
        <v>26</v>
      </c>
      <c r="W174" s="2" t="s">
        <v>6</v>
      </c>
      <c r="X174" s="2" t="s">
        <v>7</v>
      </c>
      <c r="Y174" s="2">
        <v>0.1</v>
      </c>
      <c r="Z174" s="2">
        <v>0.01</v>
      </c>
      <c r="AA174" s="3">
        <v>5000</v>
      </c>
      <c r="AB174" s="2" t="s">
        <v>21</v>
      </c>
      <c r="AE174" s="2" t="s">
        <v>77</v>
      </c>
    </row>
    <row r="175" spans="3:31" x14ac:dyDescent="0.3">
      <c r="I175" s="7">
        <f>I174-H174</f>
        <v>120</v>
      </c>
      <c r="P175" s="1" t="s">
        <v>9</v>
      </c>
      <c r="R175" s="5">
        <f>SUM(R169:R174)</f>
        <v>31000</v>
      </c>
      <c r="T175" s="5">
        <f>SUM(T169:T174)</f>
        <v>30000</v>
      </c>
      <c r="AE175" s="2" t="s">
        <v>70</v>
      </c>
    </row>
    <row r="176" spans="3:31" x14ac:dyDescent="0.3">
      <c r="P176" s="1" t="s">
        <v>31</v>
      </c>
      <c r="AE176" s="2" t="s">
        <v>72</v>
      </c>
    </row>
    <row r="177" spans="3:50" ht="28.8" x14ac:dyDescent="0.3">
      <c r="F177" s="6" t="s">
        <v>40</v>
      </c>
      <c r="G177" s="6" t="s">
        <v>41</v>
      </c>
      <c r="H177" s="6"/>
      <c r="I177" s="6"/>
      <c r="P177" s="1" t="s">
        <v>32</v>
      </c>
      <c r="Q177" s="1" t="s">
        <v>1</v>
      </c>
      <c r="R177" s="21" t="s">
        <v>34</v>
      </c>
      <c r="S177" s="6" t="s">
        <v>35</v>
      </c>
      <c r="T177" s="21" t="s">
        <v>36</v>
      </c>
    </row>
    <row r="178" spans="3:50" x14ac:dyDescent="0.3">
      <c r="F178" s="8" t="str">
        <f>T177</f>
        <v>p_set
(MW)</v>
      </c>
      <c r="G178" s="9">
        <v>0</v>
      </c>
      <c r="H178" s="14"/>
      <c r="I178" s="14"/>
      <c r="P178" s="2" t="s">
        <v>33</v>
      </c>
      <c r="Q178" s="2" t="s">
        <v>5</v>
      </c>
      <c r="R178" s="7">
        <f>R$20*(1+G179)</f>
        <v>1900</v>
      </c>
      <c r="S178" s="7">
        <f>S$20</f>
        <v>50</v>
      </c>
      <c r="T178" s="7">
        <f>T$20*(1-G178)</f>
        <v>2000</v>
      </c>
    </row>
    <row r="179" spans="3:50" x14ac:dyDescent="0.3">
      <c r="F179" s="11" t="str">
        <f>R177</f>
        <v>byog_p_nom
(MW)</v>
      </c>
      <c r="G179" s="9">
        <v>-0.05</v>
      </c>
      <c r="H179" s="14"/>
      <c r="I179" s="14"/>
      <c r="P179" s="1" t="s">
        <v>38</v>
      </c>
      <c r="R179" s="5">
        <f>SUM(R175,R178)</f>
        <v>32900</v>
      </c>
      <c r="T179" s="5">
        <f>SUM(T175,T178)</f>
        <v>32000</v>
      </c>
    </row>
    <row r="180" spans="3:50" ht="15" thickBot="1" x14ac:dyDescent="0.35">
      <c r="D180"/>
      <c r="E180"/>
      <c r="F180"/>
      <c r="G180"/>
      <c r="H180"/>
      <c r="I180"/>
      <c r="J180"/>
      <c r="K180"/>
      <c r="L180"/>
      <c r="M180"/>
      <c r="N180"/>
    </row>
    <row r="181" spans="3:50" ht="15" thickBot="1" x14ac:dyDescent="0.35">
      <c r="C181" s="26" t="s">
        <v>184</v>
      </c>
      <c r="D181" s="30" t="str">
        <f>"Critical Neighbor "&amp;P192&amp;" Connected over: "&amp;V192</f>
        <v>Critical Neighbor SERC_SE Connected over: L_PJM_NE_SERC_SE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9"/>
    </row>
    <row r="182" spans="3:50" x14ac:dyDescent="0.3">
      <c r="C182" s="1" t="s">
        <v>42</v>
      </c>
      <c r="D182" s="1"/>
      <c r="E182" s="33" t="s">
        <v>43</v>
      </c>
      <c r="F182" s="33"/>
    </row>
    <row r="183" spans="3:50" x14ac:dyDescent="0.3">
      <c r="C183" s="1" t="s">
        <v>161</v>
      </c>
      <c r="D183" s="1" t="s">
        <v>159</v>
      </c>
      <c r="E183" s="17" t="s">
        <v>160</v>
      </c>
      <c r="F183" s="1" t="s">
        <v>163</v>
      </c>
    </row>
    <row r="184" spans="3:50" x14ac:dyDescent="0.3">
      <c r="C184" s="32"/>
      <c r="D184" s="17" t="s">
        <v>165</v>
      </c>
      <c r="E184" s="1"/>
      <c r="F184" s="8"/>
      <c r="G184" s="8"/>
      <c r="H184" s="8"/>
      <c r="I184" s="8"/>
      <c r="J184" s="8"/>
      <c r="K184" s="8"/>
      <c r="L184" s="8"/>
      <c r="M184" s="8"/>
      <c r="N184" s="8"/>
    </row>
    <row r="185" spans="3:50" ht="15" thickBot="1" x14ac:dyDescent="0.35">
      <c r="D185" s="17" t="s">
        <v>162</v>
      </c>
      <c r="E185" s="1"/>
    </row>
    <row r="186" spans="3:50" ht="29.4" thickBot="1" x14ac:dyDescent="0.35">
      <c r="C186" s="6" t="s">
        <v>37</v>
      </c>
      <c r="D186" s="6" t="s">
        <v>123</v>
      </c>
      <c r="E186" s="1" t="s">
        <v>125</v>
      </c>
      <c r="F186" s="1" t="s">
        <v>126</v>
      </c>
      <c r="G186" s="6" t="s">
        <v>39</v>
      </c>
      <c r="H186" s="6"/>
      <c r="I186" s="6"/>
      <c r="J186" s="1" t="s">
        <v>28</v>
      </c>
      <c r="P186" s="1" t="s">
        <v>8</v>
      </c>
      <c r="V186" s="1" t="s">
        <v>27</v>
      </c>
      <c r="AC186"/>
      <c r="AE186" s="15" t="s">
        <v>72</v>
      </c>
    </row>
    <row r="187" spans="3:50" ht="29.4" thickBot="1" x14ac:dyDescent="0.35">
      <c r="E187" s="13"/>
      <c r="F187" s="13"/>
      <c r="J187" s="1" t="s">
        <v>1</v>
      </c>
      <c r="K187" s="1" t="s">
        <v>16</v>
      </c>
      <c r="L187" s="1" t="s">
        <v>29</v>
      </c>
      <c r="M187" s="6" t="s">
        <v>30</v>
      </c>
      <c r="N187" s="1" t="s">
        <v>19</v>
      </c>
      <c r="P187" s="1" t="s">
        <v>1</v>
      </c>
      <c r="R187" s="4" t="s">
        <v>10</v>
      </c>
      <c r="S187" s="4" t="s">
        <v>11</v>
      </c>
      <c r="T187" s="4" t="s">
        <v>12</v>
      </c>
      <c r="V187" s="1" t="s">
        <v>13</v>
      </c>
      <c r="W187" s="1" t="s">
        <v>14</v>
      </c>
      <c r="X187" s="1" t="s">
        <v>15</v>
      </c>
      <c r="Y187" s="1" t="s">
        <v>16</v>
      </c>
      <c r="Z187" s="1" t="s">
        <v>17</v>
      </c>
      <c r="AA187" s="1" t="s">
        <v>18</v>
      </c>
      <c r="AB187" s="1" t="s">
        <v>19</v>
      </c>
      <c r="AC187"/>
      <c r="AE187" s="15" t="s">
        <v>100</v>
      </c>
    </row>
    <row r="188" spans="3:50" ht="15" thickBot="1" x14ac:dyDescent="0.35">
      <c r="J188" s="2" t="s">
        <v>2</v>
      </c>
      <c r="K188" s="2">
        <v>10</v>
      </c>
      <c r="L188" s="2">
        <v>0</v>
      </c>
      <c r="M188" s="2">
        <v>345</v>
      </c>
      <c r="N188" s="2" t="s">
        <v>21</v>
      </c>
      <c r="P188" s="2" t="s">
        <v>2</v>
      </c>
      <c r="R188" s="3">
        <v>5000</v>
      </c>
      <c r="S188" s="3">
        <v>40</v>
      </c>
      <c r="T188" s="3">
        <v>5000</v>
      </c>
      <c r="V188" s="2" t="s">
        <v>20</v>
      </c>
      <c r="W188" s="2" t="s">
        <v>2</v>
      </c>
      <c r="X188" s="2" t="s">
        <v>3</v>
      </c>
      <c r="Y188" s="2">
        <v>0.1</v>
      </c>
      <c r="Z188" s="2">
        <v>0.01</v>
      </c>
      <c r="AA188" s="3">
        <v>5000</v>
      </c>
      <c r="AB188" s="2" t="s">
        <v>21</v>
      </c>
      <c r="AC188"/>
      <c r="AE188" s="15" t="s">
        <v>48</v>
      </c>
    </row>
    <row r="189" spans="3:50" ht="15" thickBot="1" x14ac:dyDescent="0.35">
      <c r="J189" s="2" t="s">
        <v>3</v>
      </c>
      <c r="K189" s="2">
        <v>5</v>
      </c>
      <c r="L189" s="2">
        <v>-8.66</v>
      </c>
      <c r="M189" s="2">
        <v>345</v>
      </c>
      <c r="N189" s="2" t="s">
        <v>21</v>
      </c>
      <c r="P189" s="2" t="s">
        <v>3</v>
      </c>
      <c r="R189" s="3">
        <v>5000</v>
      </c>
      <c r="S189" s="3">
        <v>45</v>
      </c>
      <c r="T189" s="3">
        <v>5000</v>
      </c>
      <c r="V189" s="2" t="s">
        <v>22</v>
      </c>
      <c r="W189" s="2" t="s">
        <v>3</v>
      </c>
      <c r="X189" s="2" t="s">
        <v>4</v>
      </c>
      <c r="Y189" s="2">
        <v>0.1</v>
      </c>
      <c r="Z189" s="2">
        <v>0.01</v>
      </c>
      <c r="AA189" s="3">
        <v>5000</v>
      </c>
      <c r="AB189" s="2" t="s">
        <v>21</v>
      </c>
      <c r="AC189"/>
      <c r="AE189" s="15" t="s">
        <v>101</v>
      </c>
    </row>
    <row r="190" spans="3:50" ht="15" thickBot="1" x14ac:dyDescent="0.35">
      <c r="F190" s="8" t="str">
        <f>P192</f>
        <v>SERC_SE</v>
      </c>
      <c r="G190" s="9">
        <v>0</v>
      </c>
      <c r="J190" s="2" t="s">
        <v>4</v>
      </c>
      <c r="K190" s="2">
        <v>-5</v>
      </c>
      <c r="L190" s="2">
        <v>-8.66</v>
      </c>
      <c r="M190" s="2">
        <v>345</v>
      </c>
      <c r="N190" s="2" t="s">
        <v>21</v>
      </c>
      <c r="P190" s="2" t="s">
        <v>4</v>
      </c>
      <c r="R190" s="3">
        <v>5000</v>
      </c>
      <c r="S190" s="3">
        <v>50</v>
      </c>
      <c r="T190" s="3">
        <v>5000</v>
      </c>
      <c r="V190" s="2" t="s">
        <v>23</v>
      </c>
      <c r="W190" s="2" t="s">
        <v>4</v>
      </c>
      <c r="X190" s="2" t="s">
        <v>7</v>
      </c>
      <c r="Y190" s="2">
        <v>0.1</v>
      </c>
      <c r="Z190" s="2">
        <v>0.01</v>
      </c>
      <c r="AA190" s="3">
        <v>5000</v>
      </c>
      <c r="AB190" s="2" t="s">
        <v>21</v>
      </c>
      <c r="AC190"/>
      <c r="AE190" s="15" t="s">
        <v>102</v>
      </c>
      <c r="AH190" s="24" t="str">
        <f>RIGHT(AE190,9)</f>
        <v>1.618e+06</v>
      </c>
      <c r="AI190" s="22">
        <f>_xlfn.NUMBERVALUE(AH190)</f>
        <v>1618000</v>
      </c>
    </row>
    <row r="191" spans="3:50" ht="15" thickBot="1" x14ac:dyDescent="0.35">
      <c r="F191" s="8" t="str">
        <f>V192</f>
        <v>L_PJM_NE_SERC_SE</v>
      </c>
      <c r="G191" s="9">
        <v>0</v>
      </c>
      <c r="J191" s="2" t="s">
        <v>5</v>
      </c>
      <c r="K191" s="2">
        <v>-10</v>
      </c>
      <c r="L191" s="2">
        <v>0</v>
      </c>
      <c r="M191" s="2">
        <v>345</v>
      </c>
      <c r="N191" s="2" t="s">
        <v>21</v>
      </c>
      <c r="P191" s="2" t="s">
        <v>5</v>
      </c>
      <c r="R191" s="3">
        <v>5000</v>
      </c>
      <c r="S191" s="3">
        <v>60</v>
      </c>
      <c r="T191" s="3">
        <v>5000</v>
      </c>
      <c r="V191" s="20" t="s">
        <v>24</v>
      </c>
      <c r="W191" s="2" t="s">
        <v>4</v>
      </c>
      <c r="X191" s="2" t="s">
        <v>5</v>
      </c>
      <c r="Y191" s="2">
        <v>0.1</v>
      </c>
      <c r="Z191" s="2">
        <v>0.01</v>
      </c>
      <c r="AA191" s="7">
        <f>AA$14*(1-G192)</f>
        <v>0</v>
      </c>
      <c r="AB191" s="2" t="s">
        <v>21</v>
      </c>
      <c r="AC191"/>
      <c r="AE191" s="15" t="s">
        <v>51</v>
      </c>
    </row>
    <row r="192" spans="3:50" ht="15" thickBot="1" x14ac:dyDescent="0.35">
      <c r="F192" s="8" t="str">
        <f>V191</f>
        <v>L_SPP_MISO_PJM_NE</v>
      </c>
      <c r="G192" s="9">
        <v>1</v>
      </c>
      <c r="H192" s="14"/>
      <c r="I192" s="14"/>
      <c r="J192" s="2" t="s">
        <v>6</v>
      </c>
      <c r="K192" s="2">
        <v>-5</v>
      </c>
      <c r="L192" s="2">
        <v>8.66</v>
      </c>
      <c r="M192" s="2">
        <v>345</v>
      </c>
      <c r="N192" s="2" t="s">
        <v>21</v>
      </c>
      <c r="P192" s="20" t="s">
        <v>6</v>
      </c>
      <c r="R192" s="7">
        <f>R$15*(1-G190)</f>
        <v>6000</v>
      </c>
      <c r="S192" s="3">
        <v>55</v>
      </c>
      <c r="T192" s="3">
        <v>5000</v>
      </c>
      <c r="V192" s="20" t="s">
        <v>25</v>
      </c>
      <c r="W192" s="2" t="s">
        <v>5</v>
      </c>
      <c r="X192" s="2" t="s">
        <v>6</v>
      </c>
      <c r="Y192" s="2">
        <v>0.1</v>
      </c>
      <c r="Z192" s="2">
        <v>0.01</v>
      </c>
      <c r="AA192" s="7">
        <f>AA$15*(1-G191)</f>
        <v>5000</v>
      </c>
      <c r="AB192" s="2" t="s">
        <v>21</v>
      </c>
      <c r="AC192"/>
      <c r="AE192" s="15" t="s">
        <v>52</v>
      </c>
    </row>
    <row r="193" spans="6:31" ht="15" thickBot="1" x14ac:dyDescent="0.35">
      <c r="F193" s="2" t="s">
        <v>46</v>
      </c>
      <c r="G193" s="3">
        <v>5</v>
      </c>
      <c r="H193" s="3">
        <v>3720</v>
      </c>
      <c r="I193" s="7">
        <f>H193+(G193*24)</f>
        <v>3840</v>
      </c>
      <c r="J193" s="2" t="s">
        <v>7</v>
      </c>
      <c r="K193" s="2">
        <v>5</v>
      </c>
      <c r="L193" s="2">
        <v>8.66</v>
      </c>
      <c r="M193" s="2">
        <v>345</v>
      </c>
      <c r="N193" s="2" t="s">
        <v>21</v>
      </c>
      <c r="P193" s="2" t="s">
        <v>7</v>
      </c>
      <c r="R193" s="3">
        <v>5000</v>
      </c>
      <c r="S193" s="3">
        <v>50</v>
      </c>
      <c r="T193" s="3">
        <v>5000</v>
      </c>
      <c r="V193" s="2" t="s">
        <v>26</v>
      </c>
      <c r="W193" s="2" t="s">
        <v>6</v>
      </c>
      <c r="X193" s="2" t="s">
        <v>7</v>
      </c>
      <c r="Y193" s="2">
        <v>0.1</v>
      </c>
      <c r="Z193" s="2">
        <v>0.01</v>
      </c>
      <c r="AA193" s="3">
        <v>5000</v>
      </c>
      <c r="AB193" s="2" t="s">
        <v>21</v>
      </c>
      <c r="AC193"/>
      <c r="AE193" s="15" t="s">
        <v>53</v>
      </c>
    </row>
    <row r="194" spans="6:31" ht="15" thickBot="1" x14ac:dyDescent="0.35">
      <c r="I194" s="7">
        <f>I193-H193</f>
        <v>120</v>
      </c>
      <c r="P194" s="1" t="s">
        <v>9</v>
      </c>
      <c r="R194" s="5">
        <f>SUM(R188:R193)</f>
        <v>31000</v>
      </c>
      <c r="T194" s="5">
        <f>SUM(T188:T193)</f>
        <v>30000</v>
      </c>
      <c r="AC194"/>
      <c r="AE194" s="15" t="s">
        <v>54</v>
      </c>
    </row>
    <row r="195" spans="6:31" ht="15" thickBot="1" x14ac:dyDescent="0.35">
      <c r="P195" s="1" t="s">
        <v>31</v>
      </c>
      <c r="AC195"/>
      <c r="AE195" s="15" t="s">
        <v>103</v>
      </c>
    </row>
    <row r="196" spans="6:31" ht="29.4" thickBot="1" x14ac:dyDescent="0.35">
      <c r="F196" s="6" t="s">
        <v>40</v>
      </c>
      <c r="G196" s="6" t="s">
        <v>41</v>
      </c>
      <c r="H196" s="6"/>
      <c r="I196" s="6"/>
      <c r="P196" s="1" t="s">
        <v>32</v>
      </c>
      <c r="Q196" s="1" t="s">
        <v>1</v>
      </c>
      <c r="R196" s="21" t="s">
        <v>34</v>
      </c>
      <c r="S196" s="6" t="s">
        <v>35</v>
      </c>
      <c r="T196" s="21" t="s">
        <v>36</v>
      </c>
      <c r="AC196"/>
      <c r="AE196" s="15" t="s">
        <v>83</v>
      </c>
    </row>
    <row r="197" spans="6:31" ht="15" thickBot="1" x14ac:dyDescent="0.35">
      <c r="F197" s="8" t="str">
        <f>T196</f>
        <v>p_set
(MW)</v>
      </c>
      <c r="G197" s="9">
        <v>0</v>
      </c>
      <c r="H197" s="14"/>
      <c r="I197" s="14"/>
      <c r="P197" s="2" t="s">
        <v>33</v>
      </c>
      <c r="Q197" s="2" t="s">
        <v>5</v>
      </c>
      <c r="R197" s="7">
        <f>R$20*(1+G198)</f>
        <v>2000</v>
      </c>
      <c r="S197" s="7">
        <f>S$20</f>
        <v>50</v>
      </c>
      <c r="T197" s="7">
        <f>T$20*(1-G197)</f>
        <v>2000</v>
      </c>
      <c r="AC197"/>
      <c r="AE197" s="15" t="s">
        <v>81</v>
      </c>
    </row>
    <row r="198" spans="6:31" ht="15" thickBot="1" x14ac:dyDescent="0.35">
      <c r="F198" s="11" t="str">
        <f>R196</f>
        <v>byog_p_nom
(MW)</v>
      </c>
      <c r="G198" s="9">
        <v>0</v>
      </c>
      <c r="H198" s="14"/>
      <c r="I198" s="14"/>
      <c r="P198" s="1" t="s">
        <v>38</v>
      </c>
      <c r="R198" s="5">
        <f>SUM(R194,R197)</f>
        <v>33000</v>
      </c>
      <c r="T198" s="5">
        <f>SUM(T194,T197)</f>
        <v>32000</v>
      </c>
      <c r="AC198"/>
      <c r="AE198" s="15" t="s">
        <v>58</v>
      </c>
    </row>
    <row r="199" spans="6:31" ht="15" thickBot="1" x14ac:dyDescent="0.35">
      <c r="AE199" s="15" t="s">
        <v>59</v>
      </c>
    </row>
    <row r="200" spans="6:31" ht="15" thickBot="1" x14ac:dyDescent="0.35">
      <c r="AE200" s="15" t="s">
        <v>60</v>
      </c>
    </row>
    <row r="201" spans="6:31" ht="15" thickBot="1" x14ac:dyDescent="0.35">
      <c r="AE201" s="15" t="s">
        <v>61</v>
      </c>
    </row>
    <row r="202" spans="6:31" ht="15" thickBot="1" x14ac:dyDescent="0.35">
      <c r="AE202" s="15" t="s">
        <v>62</v>
      </c>
    </row>
    <row r="203" spans="6:31" ht="15" thickBot="1" x14ac:dyDescent="0.35">
      <c r="AE203" s="15" t="s">
        <v>104</v>
      </c>
    </row>
    <row r="204" spans="6:31" ht="15" thickBot="1" x14ac:dyDescent="0.35">
      <c r="AE204" s="15" t="s">
        <v>85</v>
      </c>
    </row>
    <row r="205" spans="6:31" ht="15" thickBot="1" x14ac:dyDescent="0.35">
      <c r="AE205" s="15" t="s">
        <v>82</v>
      </c>
    </row>
    <row r="206" spans="6:31" ht="15" thickBot="1" x14ac:dyDescent="0.35">
      <c r="AE206" s="15" t="s">
        <v>66</v>
      </c>
    </row>
    <row r="207" spans="6:31" ht="15" thickBot="1" x14ac:dyDescent="0.35">
      <c r="AE207" s="15" t="s">
        <v>67</v>
      </c>
    </row>
    <row r="208" spans="6:31" ht="15" thickBot="1" x14ac:dyDescent="0.35">
      <c r="AE208" s="15" t="s">
        <v>105</v>
      </c>
    </row>
    <row r="209" spans="3:50" ht="15" thickBot="1" x14ac:dyDescent="0.35">
      <c r="AE209" s="15" t="s">
        <v>106</v>
      </c>
    </row>
    <row r="210" spans="3:50" ht="15" thickBot="1" x14ac:dyDescent="0.35">
      <c r="AE210" s="15" t="s">
        <v>70</v>
      </c>
    </row>
    <row r="211" spans="3:50" ht="15" thickBot="1" x14ac:dyDescent="0.35">
      <c r="AE211" s="15" t="s">
        <v>107</v>
      </c>
    </row>
    <row r="212" spans="3:50" ht="15" thickBot="1" x14ac:dyDescent="0.35">
      <c r="AE212" s="15" t="s">
        <v>72</v>
      </c>
    </row>
    <row r="213" spans="3:50" ht="15" thickBot="1" x14ac:dyDescent="0.35">
      <c r="D213"/>
      <c r="E213"/>
      <c r="F213"/>
      <c r="G213"/>
      <c r="H213"/>
      <c r="I213"/>
      <c r="AE213" s="16"/>
    </row>
    <row r="214" spans="3:50" ht="15" thickBot="1" x14ac:dyDescent="0.35">
      <c r="C214" s="26" t="s">
        <v>128</v>
      </c>
      <c r="D214" s="30" t="str">
        <f>"DC Load Flexibility | BYOG dispatch offset "&amp;V225&amp;" Transmission Congestion"</f>
        <v>DC Load Flexibility | BYOG dispatch offset L_PJM_NE_SERC_SE Transmission Congestion</v>
      </c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9"/>
    </row>
    <row r="215" spans="3:50" x14ac:dyDescent="0.3">
      <c r="C215" s="1" t="s">
        <v>42</v>
      </c>
      <c r="D215" s="1"/>
      <c r="E215" s="33" t="s">
        <v>43</v>
      </c>
      <c r="F215" s="33"/>
    </row>
    <row r="216" spans="3:50" x14ac:dyDescent="0.3">
      <c r="C216" s="1" t="s">
        <v>161</v>
      </c>
      <c r="D216" s="1" t="s">
        <v>159</v>
      </c>
      <c r="E216" s="17" t="s">
        <v>160</v>
      </c>
      <c r="F216" s="1" t="s">
        <v>163</v>
      </c>
    </row>
    <row r="217" spans="3:50" ht="28.8" x14ac:dyDescent="0.3">
      <c r="C217" s="32" t="str">
        <f>D219&amp;", "&amp;D246&amp;", "&amp;D273</f>
        <v>Event 10, Event 11, Event 12</v>
      </c>
      <c r="D217" s="17" t="s">
        <v>165</v>
      </c>
      <c r="E217" s="1">
        <v>8</v>
      </c>
      <c r="F217" s="20" t="str">
        <f>"DCLoadFlexBYOGOffset_"&amp;V225&amp;"_TransmissionCongestion"</f>
        <v>DCLoadFlexBYOGOffset_L_PJM_NE_SERC_SE_TransmissionCongestion</v>
      </c>
      <c r="G217" s="20"/>
      <c r="H217" s="20"/>
      <c r="I217" s="20"/>
      <c r="J217" s="20"/>
      <c r="K217" s="20"/>
      <c r="L217" s="20"/>
      <c r="M217" s="20"/>
      <c r="N217" s="20"/>
    </row>
    <row r="218" spans="3:50" x14ac:dyDescent="0.3">
      <c r="D218" s="17" t="s">
        <v>162</v>
      </c>
      <c r="E218" s="1">
        <v>9</v>
      </c>
      <c r="F218" s="8" t="str">
        <f>F217</f>
        <v>DCLoadFlexBYOGOffset_L_PJM_NE_SERC_SE_TransmissionCongestion</v>
      </c>
      <c r="G218" s="8"/>
      <c r="H218" s="8"/>
      <c r="I218" s="8"/>
      <c r="J218" s="8"/>
      <c r="K218" s="8"/>
      <c r="L218" s="8"/>
      <c r="M218" s="8"/>
      <c r="N218" s="8"/>
    </row>
    <row r="219" spans="3:50" ht="28.8" x14ac:dyDescent="0.3">
      <c r="C219" s="6" t="s">
        <v>37</v>
      </c>
      <c r="D219" s="6" t="s">
        <v>124</v>
      </c>
      <c r="E219" s="1" t="s">
        <v>125</v>
      </c>
      <c r="F219" s="1" t="s">
        <v>126</v>
      </c>
      <c r="G219" s="6" t="s">
        <v>39</v>
      </c>
      <c r="H219" s="6"/>
      <c r="I219" s="6"/>
      <c r="J219" s="1" t="s">
        <v>28</v>
      </c>
      <c r="P219" s="1" t="s">
        <v>8</v>
      </c>
      <c r="V219" s="1" t="s">
        <v>27</v>
      </c>
      <c r="AE219" s="2" t="s">
        <v>47</v>
      </c>
    </row>
    <row r="220" spans="3:50" ht="28.8" x14ac:dyDescent="0.3">
      <c r="E220" s="13" t="s">
        <v>99</v>
      </c>
      <c r="F220" s="18" t="str">
        <f>V225&amp;" congestion: "&amp;G224*100&amp;"%"</f>
        <v>L_PJM_NE_SERC_SE congestion: 90%</v>
      </c>
      <c r="J220" s="1" t="s">
        <v>1</v>
      </c>
      <c r="K220" s="1" t="s">
        <v>16</v>
      </c>
      <c r="L220" s="1" t="s">
        <v>29</v>
      </c>
      <c r="M220" s="6" t="s">
        <v>30</v>
      </c>
      <c r="N220" s="1" t="s">
        <v>19</v>
      </c>
      <c r="P220" s="1" t="s">
        <v>1</v>
      </c>
      <c r="R220" s="4" t="s">
        <v>10</v>
      </c>
      <c r="S220" s="4" t="s">
        <v>11</v>
      </c>
      <c r="T220" s="4" t="s">
        <v>12</v>
      </c>
      <c r="V220" s="1" t="s">
        <v>13</v>
      </c>
      <c r="W220" s="1" t="s">
        <v>14</v>
      </c>
      <c r="X220" s="1" t="s">
        <v>15</v>
      </c>
      <c r="Y220" s="1" t="s">
        <v>16</v>
      </c>
      <c r="Z220" s="1" t="s">
        <v>17</v>
      </c>
      <c r="AA220" s="1" t="s">
        <v>18</v>
      </c>
      <c r="AB220" s="1" t="s">
        <v>19</v>
      </c>
      <c r="AE220" s="2" t="s">
        <v>48</v>
      </c>
    </row>
    <row r="221" spans="3:50" x14ac:dyDescent="0.3">
      <c r="F221" s="19" t="str">
        <f>"DC load reduction: "&amp;G230*100&amp;"%"</f>
        <v>DC load reduction: 0%</v>
      </c>
      <c r="J221" s="2" t="s">
        <v>2</v>
      </c>
      <c r="K221" s="2">
        <v>10</v>
      </c>
      <c r="L221" s="2">
        <v>0</v>
      </c>
      <c r="M221" s="2">
        <v>345</v>
      </c>
      <c r="N221" s="2" t="s">
        <v>21</v>
      </c>
      <c r="P221" s="2" t="s">
        <v>2</v>
      </c>
      <c r="R221" s="3">
        <v>5000</v>
      </c>
      <c r="S221" s="3">
        <v>40</v>
      </c>
      <c r="T221" s="3">
        <v>5000</v>
      </c>
      <c r="V221" s="2" t="s">
        <v>20</v>
      </c>
      <c r="W221" s="2" t="s">
        <v>2</v>
      </c>
      <c r="X221" s="2" t="s">
        <v>3</v>
      </c>
      <c r="Y221" s="2">
        <v>0.1</v>
      </c>
      <c r="Z221" s="2">
        <v>0.01</v>
      </c>
      <c r="AA221" s="3">
        <v>5000</v>
      </c>
      <c r="AB221" s="2" t="s">
        <v>21</v>
      </c>
      <c r="AE221" s="2" t="s">
        <v>132</v>
      </c>
    </row>
    <row r="222" spans="3:50" x14ac:dyDescent="0.3">
      <c r="J222" s="2" t="s">
        <v>3</v>
      </c>
      <c r="K222" s="2">
        <v>5</v>
      </c>
      <c r="L222" s="2">
        <v>-8.66</v>
      </c>
      <c r="M222" s="2">
        <v>345</v>
      </c>
      <c r="N222" s="2" t="s">
        <v>21</v>
      </c>
      <c r="P222" s="2" t="s">
        <v>3</v>
      </c>
      <c r="R222" s="3">
        <v>5000</v>
      </c>
      <c r="S222" s="3">
        <v>45</v>
      </c>
      <c r="T222" s="3">
        <v>5000</v>
      </c>
      <c r="V222" s="2" t="s">
        <v>22</v>
      </c>
      <c r="W222" s="2" t="s">
        <v>3</v>
      </c>
      <c r="X222" s="2" t="s">
        <v>4</v>
      </c>
      <c r="Y222" s="2">
        <v>0.1</v>
      </c>
      <c r="Z222" s="2">
        <v>0.01</v>
      </c>
      <c r="AA222" s="3">
        <v>5000</v>
      </c>
      <c r="AB222" s="2" t="s">
        <v>21</v>
      </c>
      <c r="AE222" s="2" t="s">
        <v>133</v>
      </c>
      <c r="AH222" s="24" t="str">
        <f>RIGHT(AE222,9)</f>
        <v>1.597e+06</v>
      </c>
      <c r="AI222" s="22">
        <f>_xlfn.NUMBERVALUE(AH222)</f>
        <v>1597000</v>
      </c>
    </row>
    <row r="223" spans="3:50" x14ac:dyDescent="0.3">
      <c r="F223" s="8" t="str">
        <f>P225</f>
        <v>SERC_SE</v>
      </c>
      <c r="G223" s="9">
        <v>0</v>
      </c>
      <c r="J223" s="2" t="s">
        <v>4</v>
      </c>
      <c r="K223" s="2">
        <v>-5</v>
      </c>
      <c r="L223" s="2">
        <v>-8.66</v>
      </c>
      <c r="M223" s="2">
        <v>345</v>
      </c>
      <c r="N223" s="2" t="s">
        <v>21</v>
      </c>
      <c r="P223" s="2" t="s">
        <v>4</v>
      </c>
      <c r="R223" s="3">
        <v>5000</v>
      </c>
      <c r="S223" s="3">
        <v>50</v>
      </c>
      <c r="T223" s="3">
        <v>5000</v>
      </c>
      <c r="V223" s="2" t="s">
        <v>23</v>
      </c>
      <c r="W223" s="2" t="s">
        <v>4</v>
      </c>
      <c r="X223" s="2" t="s">
        <v>7</v>
      </c>
      <c r="Y223" s="2">
        <v>0.1</v>
      </c>
      <c r="Z223" s="2">
        <v>0.01</v>
      </c>
      <c r="AA223" s="3">
        <v>5000</v>
      </c>
      <c r="AB223" s="2" t="s">
        <v>21</v>
      </c>
      <c r="AE223" s="2" t="s">
        <v>51</v>
      </c>
    </row>
    <row r="224" spans="3:50" x14ac:dyDescent="0.3">
      <c r="F224" s="8" t="str">
        <f>V225</f>
        <v>L_PJM_NE_SERC_SE</v>
      </c>
      <c r="G224" s="9">
        <v>0.9</v>
      </c>
      <c r="J224" s="2" t="s">
        <v>5</v>
      </c>
      <c r="K224" s="2">
        <v>-10</v>
      </c>
      <c r="L224" s="2">
        <v>0</v>
      </c>
      <c r="M224" s="2">
        <v>345</v>
      </c>
      <c r="N224" s="2" t="s">
        <v>21</v>
      </c>
      <c r="P224" s="2" t="s">
        <v>5</v>
      </c>
      <c r="R224" s="3">
        <v>5000</v>
      </c>
      <c r="S224" s="3">
        <v>60</v>
      </c>
      <c r="T224" s="3">
        <v>5000</v>
      </c>
      <c r="V224" s="20" t="s">
        <v>24</v>
      </c>
      <c r="W224" s="2" t="s">
        <v>4</v>
      </c>
      <c r="X224" s="2" t="s">
        <v>5</v>
      </c>
      <c r="Y224" s="2">
        <v>0.1</v>
      </c>
      <c r="Z224" s="2">
        <v>0.01</v>
      </c>
      <c r="AA224" s="7">
        <f>AA$14*(1-G225)</f>
        <v>5000</v>
      </c>
      <c r="AB224" s="2" t="s">
        <v>21</v>
      </c>
      <c r="AE224" s="2" t="s">
        <v>52</v>
      </c>
    </row>
    <row r="225" spans="6:31" x14ac:dyDescent="0.3">
      <c r="F225" s="8" t="str">
        <f>V224</f>
        <v>L_SPP_MISO_PJM_NE</v>
      </c>
      <c r="G225" s="9">
        <v>0</v>
      </c>
      <c r="H225" s="14"/>
      <c r="I225" s="14"/>
      <c r="J225" s="2" t="s">
        <v>6</v>
      </c>
      <c r="K225" s="2">
        <v>-5</v>
      </c>
      <c r="L225" s="2">
        <v>8.66</v>
      </c>
      <c r="M225" s="2">
        <v>345</v>
      </c>
      <c r="N225" s="2" t="s">
        <v>21</v>
      </c>
      <c r="P225" s="20" t="s">
        <v>6</v>
      </c>
      <c r="R225" s="7">
        <f>R$15*(1-G223)</f>
        <v>6000</v>
      </c>
      <c r="S225" s="3">
        <v>55</v>
      </c>
      <c r="T225" s="3">
        <v>5000</v>
      </c>
      <c r="V225" s="20" t="s">
        <v>25</v>
      </c>
      <c r="W225" s="2" t="s">
        <v>5</v>
      </c>
      <c r="X225" s="2" t="s">
        <v>6</v>
      </c>
      <c r="Y225" s="2">
        <v>0.1</v>
      </c>
      <c r="Z225" s="2">
        <v>0.01</v>
      </c>
      <c r="AA225" s="7">
        <f>AA$15*(1-G224)</f>
        <v>499.99999999999989</v>
      </c>
      <c r="AB225" s="2" t="s">
        <v>21</v>
      </c>
      <c r="AE225" s="2" t="s">
        <v>53</v>
      </c>
    </row>
    <row r="226" spans="6:31" x14ac:dyDescent="0.3">
      <c r="F226" s="2" t="s">
        <v>46</v>
      </c>
      <c r="G226" s="3">
        <v>5</v>
      </c>
      <c r="H226" s="3">
        <v>4140</v>
      </c>
      <c r="I226" s="7">
        <f>H226+(G226*24)</f>
        <v>4260</v>
      </c>
      <c r="J226" s="2" t="s">
        <v>7</v>
      </c>
      <c r="K226" s="2">
        <v>5</v>
      </c>
      <c r="L226" s="2">
        <v>8.66</v>
      </c>
      <c r="M226" s="2">
        <v>345</v>
      </c>
      <c r="N226" s="2" t="s">
        <v>21</v>
      </c>
      <c r="P226" s="2" t="s">
        <v>7</v>
      </c>
      <c r="R226" s="3">
        <v>5000</v>
      </c>
      <c r="S226" s="3">
        <v>50</v>
      </c>
      <c r="T226" s="3">
        <v>5000</v>
      </c>
      <c r="V226" s="2" t="s">
        <v>26</v>
      </c>
      <c r="W226" s="2" t="s">
        <v>6</v>
      </c>
      <c r="X226" s="2" t="s">
        <v>7</v>
      </c>
      <c r="Y226" s="2">
        <v>0.1</v>
      </c>
      <c r="Z226" s="2">
        <v>0.01</v>
      </c>
      <c r="AA226" s="3">
        <v>5000</v>
      </c>
      <c r="AB226" s="2" t="s">
        <v>21</v>
      </c>
      <c r="AE226" s="2" t="s">
        <v>54</v>
      </c>
    </row>
    <row r="227" spans="6:31" x14ac:dyDescent="0.3">
      <c r="I227" s="7">
        <f>I226-H226</f>
        <v>120</v>
      </c>
      <c r="P227" s="1" t="s">
        <v>9</v>
      </c>
      <c r="R227" s="5">
        <f>SUM(R221:R226)</f>
        <v>31000</v>
      </c>
      <c r="T227" s="5">
        <f>SUM(T221:T226)</f>
        <v>30000</v>
      </c>
      <c r="AE227" s="2" t="s">
        <v>55</v>
      </c>
    </row>
    <row r="228" spans="6:31" x14ac:dyDescent="0.3">
      <c r="P228" s="1" t="s">
        <v>31</v>
      </c>
      <c r="AE228" s="2" t="s">
        <v>83</v>
      </c>
    </row>
    <row r="229" spans="6:31" ht="28.8" x14ac:dyDescent="0.3">
      <c r="F229" s="6" t="s">
        <v>40</v>
      </c>
      <c r="G229" s="6" t="s">
        <v>41</v>
      </c>
      <c r="H229" s="6"/>
      <c r="I229" s="6"/>
      <c r="P229" s="1" t="s">
        <v>32</v>
      </c>
      <c r="Q229" s="1" t="s">
        <v>1</v>
      </c>
      <c r="R229" s="21" t="s">
        <v>34</v>
      </c>
      <c r="S229" s="6" t="s">
        <v>35</v>
      </c>
      <c r="T229" s="21" t="s">
        <v>36</v>
      </c>
      <c r="AE229" s="2" t="s">
        <v>84</v>
      </c>
    </row>
    <row r="230" spans="6:31" x14ac:dyDescent="0.3">
      <c r="F230" s="8" t="str">
        <f>T229</f>
        <v>p_set
(MW)</v>
      </c>
      <c r="G230" s="9">
        <v>0</v>
      </c>
      <c r="H230" s="14"/>
      <c r="I230" s="14"/>
      <c r="P230" s="2" t="s">
        <v>33</v>
      </c>
      <c r="Q230" s="2" t="s">
        <v>5</v>
      </c>
      <c r="R230" s="7">
        <f>R$20*(1+G231)</f>
        <v>2000</v>
      </c>
      <c r="S230" s="7">
        <f>S$20</f>
        <v>50</v>
      </c>
      <c r="T230" s="7">
        <f>T$20*(1-G230)</f>
        <v>2000</v>
      </c>
      <c r="AE230" s="2" t="s">
        <v>58</v>
      </c>
    </row>
    <row r="231" spans="6:31" x14ac:dyDescent="0.3">
      <c r="F231" s="11" t="str">
        <f>R229</f>
        <v>byog_p_nom
(MW)</v>
      </c>
      <c r="G231" s="9">
        <v>0</v>
      </c>
      <c r="H231" s="14"/>
      <c r="I231" s="14"/>
      <c r="P231" s="1" t="s">
        <v>38</v>
      </c>
      <c r="R231" s="5">
        <f>SUM(R227,R230)</f>
        <v>33000</v>
      </c>
      <c r="T231" s="5">
        <f>SUM(T227,T230)</f>
        <v>32000</v>
      </c>
      <c r="AE231" s="2" t="s">
        <v>59</v>
      </c>
    </row>
    <row r="232" spans="6:31" x14ac:dyDescent="0.3">
      <c r="AE232" s="2" t="s">
        <v>60</v>
      </c>
    </row>
    <row r="233" spans="6:31" x14ac:dyDescent="0.3">
      <c r="AE233" s="2" t="s">
        <v>61</v>
      </c>
    </row>
    <row r="234" spans="6:31" x14ac:dyDescent="0.3">
      <c r="AE234" s="2" t="s">
        <v>62</v>
      </c>
    </row>
    <row r="235" spans="6:31" x14ac:dyDescent="0.3">
      <c r="AE235" s="2" t="s">
        <v>63</v>
      </c>
    </row>
    <row r="236" spans="6:31" x14ac:dyDescent="0.3">
      <c r="AE236" s="2" t="s">
        <v>85</v>
      </c>
    </row>
    <row r="237" spans="6:31" x14ac:dyDescent="0.3">
      <c r="AE237" s="2" t="s">
        <v>86</v>
      </c>
    </row>
    <row r="238" spans="6:31" x14ac:dyDescent="0.3">
      <c r="AE238" s="2" t="s">
        <v>66</v>
      </c>
    </row>
    <row r="239" spans="6:31" x14ac:dyDescent="0.3">
      <c r="AE239" s="2" t="s">
        <v>67</v>
      </c>
    </row>
    <row r="240" spans="6:31" x14ac:dyDescent="0.3">
      <c r="AE240" s="2" t="s">
        <v>68</v>
      </c>
    </row>
    <row r="241" spans="3:35" x14ac:dyDescent="0.3">
      <c r="AE241" s="2" t="s">
        <v>87</v>
      </c>
    </row>
    <row r="242" spans="3:35" x14ac:dyDescent="0.3">
      <c r="AE242" s="2" t="s">
        <v>88</v>
      </c>
    </row>
    <row r="243" spans="3:35" x14ac:dyDescent="0.3">
      <c r="AE243" s="2" t="s">
        <v>89</v>
      </c>
    </row>
    <row r="244" spans="3:35" x14ac:dyDescent="0.3">
      <c r="AE244" s="2" t="s">
        <v>72</v>
      </c>
    </row>
    <row r="246" spans="3:35" ht="28.8" x14ac:dyDescent="0.3">
      <c r="C246" s="6" t="s">
        <v>37</v>
      </c>
      <c r="D246" s="6" t="s">
        <v>166</v>
      </c>
      <c r="E246" s="6" t="s">
        <v>79</v>
      </c>
      <c r="F246" s="1" t="s">
        <v>126</v>
      </c>
      <c r="G246" s="6" t="s">
        <v>39</v>
      </c>
      <c r="H246" s="6"/>
      <c r="I246" s="6"/>
      <c r="J246" s="1" t="s">
        <v>28</v>
      </c>
      <c r="P246" s="1" t="s">
        <v>8</v>
      </c>
      <c r="V246" s="1" t="s">
        <v>27</v>
      </c>
      <c r="AE246" s="2" t="s">
        <v>47</v>
      </c>
    </row>
    <row r="247" spans="3:35" ht="28.8" x14ac:dyDescent="0.3">
      <c r="E247" s="13" t="s">
        <v>347</v>
      </c>
      <c r="F247" s="18" t="str">
        <f>V252&amp;" congestion: "&amp;G251*100&amp;"%"</f>
        <v>L_PJM_NE_SERC_SE congestion: 90%</v>
      </c>
      <c r="J247" s="1" t="s">
        <v>1</v>
      </c>
      <c r="K247" s="1" t="s">
        <v>16</v>
      </c>
      <c r="L247" s="1" t="s">
        <v>29</v>
      </c>
      <c r="M247" s="6" t="s">
        <v>30</v>
      </c>
      <c r="N247" s="1" t="s">
        <v>19</v>
      </c>
      <c r="P247" s="1" t="s">
        <v>1</v>
      </c>
      <c r="R247" s="4" t="s">
        <v>10</v>
      </c>
      <c r="S247" s="4" t="s">
        <v>11</v>
      </c>
      <c r="T247" s="4" t="s">
        <v>12</v>
      </c>
      <c r="V247" s="1" t="s">
        <v>13</v>
      </c>
      <c r="W247" s="1" t="s">
        <v>14</v>
      </c>
      <c r="X247" s="1" t="s">
        <v>15</v>
      </c>
      <c r="Y247" s="1" t="s">
        <v>16</v>
      </c>
      <c r="Z247" s="1" t="s">
        <v>17</v>
      </c>
      <c r="AA247" s="1" t="s">
        <v>18</v>
      </c>
      <c r="AB247" s="1" t="s">
        <v>19</v>
      </c>
      <c r="AE247" s="2" t="s">
        <v>48</v>
      </c>
    </row>
    <row r="248" spans="3:35" x14ac:dyDescent="0.3">
      <c r="F248" s="19" t="str">
        <f>"DC load reduction: "&amp;G257*100&amp;"%"</f>
        <v>DC load reduction: 50%</v>
      </c>
      <c r="J248" s="2" t="s">
        <v>2</v>
      </c>
      <c r="K248" s="2">
        <v>10</v>
      </c>
      <c r="L248" s="2">
        <v>0</v>
      </c>
      <c r="M248" s="2">
        <v>345</v>
      </c>
      <c r="N248" s="2" t="s">
        <v>21</v>
      </c>
      <c r="P248" s="2" t="s">
        <v>2</v>
      </c>
      <c r="R248" s="3">
        <v>5000</v>
      </c>
      <c r="S248" s="3">
        <v>40</v>
      </c>
      <c r="T248" s="3">
        <v>5000</v>
      </c>
      <c r="V248" s="2" t="s">
        <v>20</v>
      </c>
      <c r="W248" s="2" t="s">
        <v>2</v>
      </c>
      <c r="X248" s="2" t="s">
        <v>3</v>
      </c>
      <c r="Y248" s="2">
        <v>0.1</v>
      </c>
      <c r="Z248" s="2">
        <v>0.01</v>
      </c>
      <c r="AA248" s="3">
        <v>5000</v>
      </c>
      <c r="AB248" s="2" t="s">
        <v>21</v>
      </c>
      <c r="AE248" s="2" t="s">
        <v>134</v>
      </c>
    </row>
    <row r="249" spans="3:35" x14ac:dyDescent="0.3">
      <c r="J249" s="2" t="s">
        <v>3</v>
      </c>
      <c r="K249" s="2">
        <v>5</v>
      </c>
      <c r="L249" s="2">
        <v>-8.66</v>
      </c>
      <c r="M249" s="2">
        <v>345</v>
      </c>
      <c r="N249" s="2" t="s">
        <v>21</v>
      </c>
      <c r="P249" s="2" t="s">
        <v>3</v>
      </c>
      <c r="R249" s="3">
        <v>5000</v>
      </c>
      <c r="S249" s="3">
        <v>45</v>
      </c>
      <c r="T249" s="3">
        <v>5000</v>
      </c>
      <c r="V249" s="2" t="s">
        <v>22</v>
      </c>
      <c r="W249" s="2" t="s">
        <v>3</v>
      </c>
      <c r="X249" s="2" t="s">
        <v>4</v>
      </c>
      <c r="Y249" s="2">
        <v>0.1</v>
      </c>
      <c r="Z249" s="2">
        <v>0.01</v>
      </c>
      <c r="AA249" s="3">
        <v>5000</v>
      </c>
      <c r="AB249" s="2" t="s">
        <v>21</v>
      </c>
      <c r="AE249" s="2" t="s">
        <v>135</v>
      </c>
      <c r="AH249" s="24" t="str">
        <f>RIGHT(AE249,9)</f>
        <v>1.537e+06</v>
      </c>
      <c r="AI249" s="22">
        <f>_xlfn.NUMBERVALUE(AH249)</f>
        <v>1537000</v>
      </c>
    </row>
    <row r="250" spans="3:35" x14ac:dyDescent="0.3">
      <c r="F250" s="8" t="str">
        <f>P252</f>
        <v>SERC_SE</v>
      </c>
      <c r="G250" s="9">
        <v>0</v>
      </c>
      <c r="J250" s="2" t="s">
        <v>4</v>
      </c>
      <c r="K250" s="2">
        <v>-5</v>
      </c>
      <c r="L250" s="2">
        <v>-8.66</v>
      </c>
      <c r="M250" s="2">
        <v>345</v>
      </c>
      <c r="N250" s="2" t="s">
        <v>21</v>
      </c>
      <c r="P250" s="2" t="s">
        <v>4</v>
      </c>
      <c r="R250" s="3">
        <v>5000</v>
      </c>
      <c r="S250" s="3">
        <v>50</v>
      </c>
      <c r="T250" s="3">
        <v>5000</v>
      </c>
      <c r="V250" s="2" t="s">
        <v>23</v>
      </c>
      <c r="W250" s="2" t="s">
        <v>4</v>
      </c>
      <c r="X250" s="2" t="s">
        <v>7</v>
      </c>
      <c r="Y250" s="2">
        <v>0.1</v>
      </c>
      <c r="Z250" s="2">
        <v>0.01</v>
      </c>
      <c r="AA250" s="3">
        <v>5000</v>
      </c>
      <c r="AB250" s="2" t="s">
        <v>21</v>
      </c>
      <c r="AE250" s="2" t="s">
        <v>131</v>
      </c>
      <c r="AH250" s="23"/>
      <c r="AI250"/>
    </row>
    <row r="251" spans="3:35" x14ac:dyDescent="0.3">
      <c r="F251" s="8" t="str">
        <f>V252</f>
        <v>L_PJM_NE_SERC_SE</v>
      </c>
      <c r="G251" s="9">
        <v>0.9</v>
      </c>
      <c r="J251" s="2" t="s">
        <v>5</v>
      </c>
      <c r="K251" s="2">
        <v>-10</v>
      </c>
      <c r="L251" s="2">
        <v>0</v>
      </c>
      <c r="M251" s="2">
        <v>345</v>
      </c>
      <c r="N251" s="2" t="s">
        <v>21</v>
      </c>
      <c r="P251" s="2" t="s">
        <v>5</v>
      </c>
      <c r="R251" s="3">
        <v>5000</v>
      </c>
      <c r="S251" s="3">
        <v>60</v>
      </c>
      <c r="T251" s="3">
        <v>5000</v>
      </c>
      <c r="V251" s="20" t="s">
        <v>24</v>
      </c>
      <c r="W251" s="2" t="s">
        <v>4</v>
      </c>
      <c r="X251" s="2" t="s">
        <v>5</v>
      </c>
      <c r="Y251" s="2">
        <v>0.1</v>
      </c>
      <c r="Z251" s="2">
        <v>0.01</v>
      </c>
      <c r="AA251" s="7">
        <f>AA$14*(1-G252)</f>
        <v>5000</v>
      </c>
      <c r="AB251" s="2" t="s">
        <v>21</v>
      </c>
      <c r="AE251" s="2" t="s">
        <v>52</v>
      </c>
    </row>
    <row r="252" spans="3:35" x14ac:dyDescent="0.3">
      <c r="F252" s="8" t="str">
        <f>V251</f>
        <v>L_SPP_MISO_PJM_NE</v>
      </c>
      <c r="G252" s="9">
        <v>0</v>
      </c>
      <c r="H252" s="14"/>
      <c r="I252" s="14"/>
      <c r="J252" s="2" t="s">
        <v>6</v>
      </c>
      <c r="K252" s="2">
        <v>-5</v>
      </c>
      <c r="L252" s="2">
        <v>8.66</v>
      </c>
      <c r="M252" s="2">
        <v>345</v>
      </c>
      <c r="N252" s="2" t="s">
        <v>21</v>
      </c>
      <c r="P252" s="20" t="s">
        <v>6</v>
      </c>
      <c r="R252" s="7">
        <f>R$15*(1-G250)</f>
        <v>6000</v>
      </c>
      <c r="S252" s="3">
        <v>55</v>
      </c>
      <c r="T252" s="3">
        <v>5000</v>
      </c>
      <c r="V252" s="20" t="s">
        <v>25</v>
      </c>
      <c r="W252" s="2" t="s">
        <v>5</v>
      </c>
      <c r="X252" s="2" t="s">
        <v>6</v>
      </c>
      <c r="Y252" s="2">
        <v>0.1</v>
      </c>
      <c r="Z252" s="2">
        <v>0.01</v>
      </c>
      <c r="AA252" s="7">
        <f>AA$15*(1-G251)</f>
        <v>499.99999999999989</v>
      </c>
      <c r="AB252" s="2" t="s">
        <v>21</v>
      </c>
      <c r="AE252" s="2" t="s">
        <v>53</v>
      </c>
    </row>
    <row r="253" spans="3:35" x14ac:dyDescent="0.3">
      <c r="F253" s="2" t="s">
        <v>46</v>
      </c>
      <c r="G253" s="3">
        <v>5</v>
      </c>
      <c r="H253" s="3">
        <v>4560</v>
      </c>
      <c r="I253" s="7">
        <f>H253+(G253*24)</f>
        <v>4680</v>
      </c>
      <c r="J253" s="2" t="s">
        <v>7</v>
      </c>
      <c r="K253" s="2">
        <v>5</v>
      </c>
      <c r="L253" s="2">
        <v>8.66</v>
      </c>
      <c r="M253" s="2">
        <v>345</v>
      </c>
      <c r="N253" s="2" t="s">
        <v>21</v>
      </c>
      <c r="P253" s="2" t="s">
        <v>7</v>
      </c>
      <c r="R253" s="3">
        <v>5000</v>
      </c>
      <c r="S253" s="3">
        <v>50</v>
      </c>
      <c r="T253" s="3">
        <v>5000</v>
      </c>
      <c r="V253" s="2" t="s">
        <v>26</v>
      </c>
      <c r="W253" s="2" t="s">
        <v>6</v>
      </c>
      <c r="X253" s="2" t="s">
        <v>7</v>
      </c>
      <c r="Y253" s="2">
        <v>0.1</v>
      </c>
      <c r="Z253" s="2">
        <v>0.01</v>
      </c>
      <c r="AA253" s="3">
        <v>5000</v>
      </c>
      <c r="AB253" s="2" t="s">
        <v>21</v>
      </c>
      <c r="AE253" s="2" t="s">
        <v>54</v>
      </c>
    </row>
    <row r="254" spans="3:35" x14ac:dyDescent="0.3">
      <c r="I254" s="7">
        <f>I253-H253</f>
        <v>120</v>
      </c>
      <c r="P254" s="1" t="s">
        <v>9</v>
      </c>
      <c r="R254" s="5">
        <f>SUM(R248:R253)</f>
        <v>31000</v>
      </c>
      <c r="T254" s="5">
        <f>SUM(T248:T253)</f>
        <v>30000</v>
      </c>
      <c r="AE254" s="2" t="s">
        <v>55</v>
      </c>
    </row>
    <row r="255" spans="3:35" x14ac:dyDescent="0.3">
      <c r="P255" s="1" t="s">
        <v>31</v>
      </c>
      <c r="AE255" s="2" t="s">
        <v>136</v>
      </c>
    </row>
    <row r="256" spans="3:35" ht="28.8" x14ac:dyDescent="0.3">
      <c r="F256" s="6" t="s">
        <v>40</v>
      </c>
      <c r="G256" s="6" t="s">
        <v>41</v>
      </c>
      <c r="H256" s="6"/>
      <c r="I256" s="6"/>
      <c r="P256" s="1" t="s">
        <v>32</v>
      </c>
      <c r="Q256" s="1" t="s">
        <v>1</v>
      </c>
      <c r="R256" s="21" t="s">
        <v>34</v>
      </c>
      <c r="S256" s="6" t="s">
        <v>35</v>
      </c>
      <c r="T256" s="21" t="s">
        <v>36</v>
      </c>
      <c r="AE256" s="2" t="s">
        <v>84</v>
      </c>
    </row>
    <row r="257" spans="6:31" x14ac:dyDescent="0.3">
      <c r="F257" s="8" t="str">
        <f>T256</f>
        <v>p_set
(MW)</v>
      </c>
      <c r="G257" s="9">
        <v>0.5</v>
      </c>
      <c r="H257" s="14"/>
      <c r="I257" s="14"/>
      <c r="P257" s="2" t="s">
        <v>33</v>
      </c>
      <c r="Q257" s="2" t="s">
        <v>5</v>
      </c>
      <c r="R257" s="7">
        <f>R$20*(1+G258)</f>
        <v>2000</v>
      </c>
      <c r="S257" s="7">
        <f>S$20</f>
        <v>50</v>
      </c>
      <c r="T257" s="7">
        <f>T$20*(1-G257)</f>
        <v>1000</v>
      </c>
      <c r="AE257" s="2" t="s">
        <v>58</v>
      </c>
    </row>
    <row r="258" spans="6:31" x14ac:dyDescent="0.3">
      <c r="F258" s="11" t="str">
        <f>R256</f>
        <v>byog_p_nom
(MW)</v>
      </c>
      <c r="G258" s="9">
        <v>0</v>
      </c>
      <c r="H258" s="14"/>
      <c r="I258" s="14"/>
      <c r="P258" s="1" t="s">
        <v>38</v>
      </c>
      <c r="R258" s="5">
        <f>SUM(R254,R257)</f>
        <v>33000</v>
      </c>
      <c r="T258" s="5">
        <f>SUM(T254,T257)</f>
        <v>31000</v>
      </c>
      <c r="AE258" s="2" t="s">
        <v>59</v>
      </c>
    </row>
    <row r="259" spans="6:31" x14ac:dyDescent="0.3">
      <c r="AE259" s="2" t="s">
        <v>60</v>
      </c>
    </row>
    <row r="260" spans="6:31" x14ac:dyDescent="0.3">
      <c r="AE260" s="2" t="s">
        <v>61</v>
      </c>
    </row>
    <row r="261" spans="6:31" x14ac:dyDescent="0.3">
      <c r="AE261" s="2" t="s">
        <v>62</v>
      </c>
    </row>
    <row r="262" spans="6:31" x14ac:dyDescent="0.3">
      <c r="AE262" s="2" t="s">
        <v>63</v>
      </c>
    </row>
    <row r="263" spans="6:31" x14ac:dyDescent="0.3">
      <c r="AE263" s="2" t="s">
        <v>85</v>
      </c>
    </row>
    <row r="264" spans="6:31" x14ac:dyDescent="0.3">
      <c r="AE264" s="2" t="s">
        <v>86</v>
      </c>
    </row>
    <row r="265" spans="6:31" x14ac:dyDescent="0.3">
      <c r="AE265" s="2" t="s">
        <v>66</v>
      </c>
    </row>
    <row r="266" spans="6:31" x14ac:dyDescent="0.3">
      <c r="AE266" s="2" t="s">
        <v>67</v>
      </c>
    </row>
    <row r="267" spans="6:31" x14ac:dyDescent="0.3">
      <c r="AE267" s="2" t="s">
        <v>68</v>
      </c>
    </row>
    <row r="268" spans="6:31" x14ac:dyDescent="0.3">
      <c r="AE268" s="2" t="s">
        <v>87</v>
      </c>
    </row>
    <row r="269" spans="6:31" x14ac:dyDescent="0.3">
      <c r="AE269" s="2" t="s">
        <v>88</v>
      </c>
    </row>
    <row r="270" spans="6:31" x14ac:dyDescent="0.3">
      <c r="AE270" s="2" t="s">
        <v>89</v>
      </c>
    </row>
    <row r="271" spans="6:31" x14ac:dyDescent="0.3">
      <c r="AE271" s="2" t="s">
        <v>72</v>
      </c>
    </row>
    <row r="273" spans="3:35" ht="28.8" x14ac:dyDescent="0.3">
      <c r="C273" s="6" t="s">
        <v>37</v>
      </c>
      <c r="D273" s="6" t="s">
        <v>167</v>
      </c>
      <c r="E273" s="6" t="s">
        <v>79</v>
      </c>
      <c r="F273" s="1" t="s">
        <v>126</v>
      </c>
      <c r="G273" s="6" t="s">
        <v>39</v>
      </c>
      <c r="H273" s="6"/>
      <c r="I273" s="6"/>
      <c r="J273" s="1" t="s">
        <v>28</v>
      </c>
      <c r="P273" s="1" t="s">
        <v>8</v>
      </c>
      <c r="V273" s="1" t="s">
        <v>27</v>
      </c>
      <c r="AE273" s="2" t="s">
        <v>47</v>
      </c>
    </row>
    <row r="274" spans="3:35" ht="28.8" x14ac:dyDescent="0.3">
      <c r="E274" s="13" t="s">
        <v>137</v>
      </c>
      <c r="F274" s="18" t="str">
        <f>V279&amp;" congestion: "&amp;G278*100&amp;"%"</f>
        <v>L_PJM_NE_SERC_SE congestion: 90%</v>
      </c>
      <c r="J274" s="1" t="s">
        <v>1</v>
      </c>
      <c r="K274" s="1" t="s">
        <v>16</v>
      </c>
      <c r="L274" s="1" t="s">
        <v>29</v>
      </c>
      <c r="M274" s="6" t="s">
        <v>30</v>
      </c>
      <c r="N274" s="1" t="s">
        <v>19</v>
      </c>
      <c r="P274" s="1" t="s">
        <v>1</v>
      </c>
      <c r="R274" s="4" t="s">
        <v>10</v>
      </c>
      <c r="S274" s="4" t="s">
        <v>11</v>
      </c>
      <c r="T274" s="4" t="s">
        <v>12</v>
      </c>
      <c r="V274" s="1" t="s">
        <v>13</v>
      </c>
      <c r="W274" s="1" t="s">
        <v>14</v>
      </c>
      <c r="X274" s="1" t="s">
        <v>15</v>
      </c>
      <c r="Y274" s="1" t="s">
        <v>16</v>
      </c>
      <c r="Z274" s="1" t="s">
        <v>17</v>
      </c>
      <c r="AA274" s="1" t="s">
        <v>18</v>
      </c>
      <c r="AB274" s="1" t="s">
        <v>19</v>
      </c>
      <c r="AE274" s="2" t="s">
        <v>48</v>
      </c>
    </row>
    <row r="275" spans="3:35" x14ac:dyDescent="0.3">
      <c r="F275" s="19" t="str">
        <f>"DC BYOG FTM: "&amp;G285*100&amp;"%"</f>
        <v>DC BYOG FTM: 50%</v>
      </c>
      <c r="J275" s="2" t="s">
        <v>2</v>
      </c>
      <c r="K275" s="2">
        <v>10</v>
      </c>
      <c r="L275" s="2">
        <v>0</v>
      </c>
      <c r="M275" s="2">
        <v>345</v>
      </c>
      <c r="N275" s="2" t="s">
        <v>21</v>
      </c>
      <c r="P275" s="2" t="s">
        <v>2</v>
      </c>
      <c r="R275" s="3">
        <v>5000</v>
      </c>
      <c r="S275" s="3">
        <v>40</v>
      </c>
      <c r="T275" s="3">
        <v>5000</v>
      </c>
      <c r="V275" s="2" t="s">
        <v>20</v>
      </c>
      <c r="W275" s="2" t="s">
        <v>2</v>
      </c>
      <c r="X275" s="2" t="s">
        <v>3</v>
      </c>
      <c r="Y275" s="2">
        <v>0.1</v>
      </c>
      <c r="Z275" s="2">
        <v>0.01</v>
      </c>
      <c r="AA275" s="3">
        <v>5000</v>
      </c>
      <c r="AB275" s="2" t="s">
        <v>21</v>
      </c>
      <c r="AE275" s="2" t="s">
        <v>139</v>
      </c>
    </row>
    <row r="276" spans="3:35" x14ac:dyDescent="0.3">
      <c r="J276" s="2" t="s">
        <v>3</v>
      </c>
      <c r="K276" s="2">
        <v>5</v>
      </c>
      <c r="L276" s="2">
        <v>-8.66</v>
      </c>
      <c r="M276" s="2">
        <v>345</v>
      </c>
      <c r="N276" s="2" t="s">
        <v>21</v>
      </c>
      <c r="P276" s="2" t="s">
        <v>3</v>
      </c>
      <c r="R276" s="3">
        <v>5000</v>
      </c>
      <c r="S276" s="3">
        <v>45</v>
      </c>
      <c r="T276" s="3">
        <v>5000</v>
      </c>
      <c r="V276" s="2" t="s">
        <v>22</v>
      </c>
      <c r="W276" s="2" t="s">
        <v>3</v>
      </c>
      <c r="X276" s="2" t="s">
        <v>4</v>
      </c>
      <c r="Y276" s="2">
        <v>0.1</v>
      </c>
      <c r="Z276" s="2">
        <v>0.01</v>
      </c>
      <c r="AA276" s="3">
        <v>5000</v>
      </c>
      <c r="AB276" s="2" t="s">
        <v>21</v>
      </c>
      <c r="AE276" s="2" t="s">
        <v>140</v>
      </c>
      <c r="AH276" s="24" t="str">
        <f>RIGHT(AE276,9)</f>
        <v>1.587e+06</v>
      </c>
      <c r="AI276" s="22">
        <f>_xlfn.NUMBERVALUE(AH276)</f>
        <v>1587000</v>
      </c>
    </row>
    <row r="277" spans="3:35" x14ac:dyDescent="0.3">
      <c r="F277" s="8" t="str">
        <f>P279</f>
        <v>SERC_SE</v>
      </c>
      <c r="G277" s="9">
        <v>0</v>
      </c>
      <c r="J277" s="2" t="s">
        <v>4</v>
      </c>
      <c r="K277" s="2">
        <v>-5</v>
      </c>
      <c r="L277" s="2">
        <v>-8.66</v>
      </c>
      <c r="M277" s="2">
        <v>345</v>
      </c>
      <c r="N277" s="2" t="s">
        <v>21</v>
      </c>
      <c r="P277" s="2" t="s">
        <v>4</v>
      </c>
      <c r="R277" s="3">
        <v>5000</v>
      </c>
      <c r="S277" s="3">
        <v>50</v>
      </c>
      <c r="T277" s="3">
        <v>5000</v>
      </c>
      <c r="V277" s="2" t="s">
        <v>23</v>
      </c>
      <c r="W277" s="2" t="s">
        <v>4</v>
      </c>
      <c r="X277" s="2" t="s">
        <v>7</v>
      </c>
      <c r="Y277" s="2">
        <v>0.1</v>
      </c>
      <c r="Z277" s="2">
        <v>0.01</v>
      </c>
      <c r="AA277" s="3">
        <v>5000</v>
      </c>
      <c r="AB277" s="2" t="s">
        <v>21</v>
      </c>
      <c r="AE277" s="2" t="s">
        <v>51</v>
      </c>
      <c r="AH277" s="23"/>
      <c r="AI277"/>
    </row>
    <row r="278" spans="3:35" x14ac:dyDescent="0.3">
      <c r="F278" s="8" t="str">
        <f>V279</f>
        <v>L_PJM_NE_SERC_SE</v>
      </c>
      <c r="G278" s="9">
        <v>0.9</v>
      </c>
      <c r="J278" s="2" t="s">
        <v>5</v>
      </c>
      <c r="K278" s="2">
        <v>-10</v>
      </c>
      <c r="L278" s="2">
        <v>0</v>
      </c>
      <c r="M278" s="2">
        <v>345</v>
      </c>
      <c r="N278" s="2" t="s">
        <v>21</v>
      </c>
      <c r="P278" s="2" t="s">
        <v>5</v>
      </c>
      <c r="R278" s="3">
        <v>5000</v>
      </c>
      <c r="S278" s="3">
        <v>60</v>
      </c>
      <c r="T278" s="3">
        <v>5000</v>
      </c>
      <c r="V278" s="20" t="s">
        <v>24</v>
      </c>
      <c r="W278" s="2" t="s">
        <v>4</v>
      </c>
      <c r="X278" s="2" t="s">
        <v>5</v>
      </c>
      <c r="Y278" s="2">
        <v>0.1</v>
      </c>
      <c r="Z278" s="2">
        <v>0.01</v>
      </c>
      <c r="AA278" s="7">
        <f>AA$14*(1-G279)</f>
        <v>5000</v>
      </c>
      <c r="AB278" s="2" t="s">
        <v>21</v>
      </c>
      <c r="AE278" s="2" t="s">
        <v>52</v>
      </c>
    </row>
    <row r="279" spans="3:35" x14ac:dyDescent="0.3">
      <c r="F279" s="8" t="str">
        <f>V278</f>
        <v>L_SPP_MISO_PJM_NE</v>
      </c>
      <c r="G279" s="9">
        <v>0</v>
      </c>
      <c r="H279" s="14"/>
      <c r="I279" s="14"/>
      <c r="J279" s="2" t="s">
        <v>6</v>
      </c>
      <c r="K279" s="2">
        <v>-5</v>
      </c>
      <c r="L279" s="2">
        <v>8.66</v>
      </c>
      <c r="M279" s="2">
        <v>345</v>
      </c>
      <c r="N279" s="2" t="s">
        <v>21</v>
      </c>
      <c r="P279" s="20" t="s">
        <v>6</v>
      </c>
      <c r="R279" s="7">
        <f>R$15*(1-G277)</f>
        <v>6000</v>
      </c>
      <c r="S279" s="3">
        <v>55</v>
      </c>
      <c r="T279" s="3">
        <v>5000</v>
      </c>
      <c r="V279" s="20" t="s">
        <v>25</v>
      </c>
      <c r="W279" s="2" t="s">
        <v>5</v>
      </c>
      <c r="X279" s="2" t="s">
        <v>6</v>
      </c>
      <c r="Y279" s="2">
        <v>0.1</v>
      </c>
      <c r="Z279" s="2">
        <v>0.01</v>
      </c>
      <c r="AA279" s="7">
        <f>AA$15*(1-G278)</f>
        <v>499.99999999999989</v>
      </c>
      <c r="AB279" s="2" t="s">
        <v>21</v>
      </c>
      <c r="AE279" s="2" t="s">
        <v>53</v>
      </c>
    </row>
    <row r="280" spans="3:35" x14ac:dyDescent="0.3">
      <c r="F280" s="2" t="s">
        <v>46</v>
      </c>
      <c r="G280" s="3">
        <v>5</v>
      </c>
      <c r="H280" s="3">
        <v>4980</v>
      </c>
      <c r="I280" s="7">
        <f>H280+(G280*24)</f>
        <v>5100</v>
      </c>
      <c r="J280" s="2" t="s">
        <v>7</v>
      </c>
      <c r="K280" s="2">
        <v>5</v>
      </c>
      <c r="L280" s="2">
        <v>8.66</v>
      </c>
      <c r="M280" s="2">
        <v>345</v>
      </c>
      <c r="N280" s="2" t="s">
        <v>21</v>
      </c>
      <c r="P280" s="2" t="s">
        <v>7</v>
      </c>
      <c r="R280" s="3">
        <v>5000</v>
      </c>
      <c r="S280" s="3">
        <v>50</v>
      </c>
      <c r="T280" s="3">
        <v>5000</v>
      </c>
      <c r="V280" s="2" t="s">
        <v>26</v>
      </c>
      <c r="W280" s="2" t="s">
        <v>6</v>
      </c>
      <c r="X280" s="2" t="s">
        <v>7</v>
      </c>
      <c r="Y280" s="2">
        <v>0.1</v>
      </c>
      <c r="Z280" s="2">
        <v>0.01</v>
      </c>
      <c r="AA280" s="3">
        <v>5000</v>
      </c>
      <c r="AB280" s="2" t="s">
        <v>21</v>
      </c>
      <c r="AE280" s="2" t="s">
        <v>54</v>
      </c>
    </row>
    <row r="281" spans="3:35" x14ac:dyDescent="0.3">
      <c r="I281" s="7">
        <f>I280-H280</f>
        <v>120</v>
      </c>
      <c r="P281" s="1" t="s">
        <v>9</v>
      </c>
      <c r="R281" s="5">
        <f>SUM(R275:R280)</f>
        <v>31000</v>
      </c>
      <c r="T281" s="5">
        <f>SUM(T275:T280)</f>
        <v>30000</v>
      </c>
      <c r="AE281" s="2" t="s">
        <v>55</v>
      </c>
    </row>
    <row r="282" spans="3:35" x14ac:dyDescent="0.3">
      <c r="P282" s="1" t="s">
        <v>31</v>
      </c>
      <c r="AE282" s="2" t="s">
        <v>136</v>
      </c>
    </row>
    <row r="283" spans="3:35" ht="28.8" x14ac:dyDescent="0.3">
      <c r="F283" s="6" t="s">
        <v>40</v>
      </c>
      <c r="G283" s="6" t="s">
        <v>41</v>
      </c>
      <c r="H283" s="6"/>
      <c r="I283" s="6"/>
      <c r="P283" s="1" t="s">
        <v>32</v>
      </c>
      <c r="Q283" s="1" t="s">
        <v>1</v>
      </c>
      <c r="R283" s="21" t="s">
        <v>34</v>
      </c>
      <c r="S283" s="6" t="s">
        <v>35</v>
      </c>
      <c r="T283" s="21" t="s">
        <v>36</v>
      </c>
      <c r="AE283" s="2" t="s">
        <v>84</v>
      </c>
    </row>
    <row r="284" spans="3:35" x14ac:dyDescent="0.3">
      <c r="F284" s="8" t="str">
        <f>T283</f>
        <v>p_set
(MW)</v>
      </c>
      <c r="G284" s="9">
        <v>0</v>
      </c>
      <c r="H284" s="14"/>
      <c r="I284" s="14"/>
      <c r="P284" s="2" t="s">
        <v>33</v>
      </c>
      <c r="Q284" s="2" t="s">
        <v>5</v>
      </c>
      <c r="R284" s="7">
        <f>R$20*(1+G285)</f>
        <v>3000</v>
      </c>
      <c r="S284" s="7">
        <f>S$20</f>
        <v>50</v>
      </c>
      <c r="T284" s="7">
        <f>T$20*(1-G284)</f>
        <v>2000</v>
      </c>
      <c r="AE284" s="2" t="s">
        <v>58</v>
      </c>
    </row>
    <row r="285" spans="3:35" x14ac:dyDescent="0.3">
      <c r="F285" s="11" t="str">
        <f>R283</f>
        <v>byog_p_nom
(MW)</v>
      </c>
      <c r="G285" s="9">
        <v>0.5</v>
      </c>
      <c r="H285" s="14"/>
      <c r="I285" s="14"/>
      <c r="P285" s="1" t="s">
        <v>38</v>
      </c>
      <c r="R285" s="5">
        <f>SUM(R281,R284)</f>
        <v>34000</v>
      </c>
      <c r="T285" s="5">
        <f>SUM(T281,T284)</f>
        <v>32000</v>
      </c>
      <c r="AE285" s="2" t="s">
        <v>108</v>
      </c>
    </row>
    <row r="286" spans="3:35" x14ac:dyDescent="0.3">
      <c r="AE286" s="2" t="s">
        <v>60</v>
      </c>
    </row>
    <row r="287" spans="3:35" x14ac:dyDescent="0.3">
      <c r="AE287" s="2" t="s">
        <v>61</v>
      </c>
    </row>
    <row r="288" spans="3:35" x14ac:dyDescent="0.3">
      <c r="AE288" s="2" t="s">
        <v>62</v>
      </c>
    </row>
    <row r="289" spans="31:31" x14ac:dyDescent="0.3">
      <c r="AE289" s="2" t="s">
        <v>63</v>
      </c>
    </row>
    <row r="290" spans="31:31" x14ac:dyDescent="0.3">
      <c r="AE290" s="2" t="s">
        <v>85</v>
      </c>
    </row>
    <row r="291" spans="31:31" x14ac:dyDescent="0.3">
      <c r="AE291" s="2" t="s">
        <v>86</v>
      </c>
    </row>
    <row r="292" spans="31:31" x14ac:dyDescent="0.3">
      <c r="AE292" s="2" t="s">
        <v>66</v>
      </c>
    </row>
    <row r="293" spans="31:31" x14ac:dyDescent="0.3">
      <c r="AE293" s="2" t="s">
        <v>67</v>
      </c>
    </row>
    <row r="294" spans="31:31" x14ac:dyDescent="0.3">
      <c r="AE294" s="2" t="s">
        <v>68</v>
      </c>
    </row>
    <row r="295" spans="31:31" x14ac:dyDescent="0.3">
      <c r="AE295" s="2" t="s">
        <v>87</v>
      </c>
    </row>
    <row r="296" spans="31:31" x14ac:dyDescent="0.3">
      <c r="AE296" s="2" t="s">
        <v>88</v>
      </c>
    </row>
    <row r="297" spans="31:31" x14ac:dyDescent="0.3">
      <c r="AE297" s="2" t="s">
        <v>89</v>
      </c>
    </row>
    <row r="298" spans="31:31" x14ac:dyDescent="0.3">
      <c r="AE298" s="2" t="s">
        <v>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0977-FD2E-439A-A8E9-CE92353AE580}">
  <dimension ref="B2:E14"/>
  <sheetViews>
    <sheetView workbookViewId="0"/>
  </sheetViews>
  <sheetFormatPr defaultRowHeight="14.4" x14ac:dyDescent="0.3"/>
  <sheetData>
    <row r="2" spans="2:5" x14ac:dyDescent="0.3">
      <c r="B2" s="4" t="s">
        <v>114</v>
      </c>
      <c r="C2" s="4" t="s">
        <v>141</v>
      </c>
      <c r="D2" s="4" t="s">
        <v>142</v>
      </c>
      <c r="E2" s="4" t="s">
        <v>143</v>
      </c>
    </row>
    <row r="3" spans="2:5" x14ac:dyDescent="0.3">
      <c r="B3" s="25" t="s">
        <v>144</v>
      </c>
      <c r="C3" s="25">
        <v>360</v>
      </c>
      <c r="D3" s="25">
        <v>408</v>
      </c>
      <c r="E3" s="25" t="s">
        <v>145</v>
      </c>
    </row>
    <row r="4" spans="2:5" x14ac:dyDescent="0.3">
      <c r="B4" s="25" t="s">
        <v>146</v>
      </c>
      <c r="C4" s="25">
        <v>780</v>
      </c>
      <c r="D4" s="25">
        <v>876</v>
      </c>
      <c r="E4" s="25" t="s">
        <v>147</v>
      </c>
    </row>
    <row r="5" spans="2:5" x14ac:dyDescent="0.3">
      <c r="B5" s="25" t="s">
        <v>148</v>
      </c>
      <c r="C5" s="25">
        <v>1200</v>
      </c>
      <c r="D5" s="25">
        <v>1296</v>
      </c>
      <c r="E5" s="25" t="s">
        <v>147</v>
      </c>
    </row>
    <row r="6" spans="2:5" x14ac:dyDescent="0.3">
      <c r="B6" s="25" t="s">
        <v>149</v>
      </c>
      <c r="C6" s="25">
        <v>1620</v>
      </c>
      <c r="D6" s="25">
        <v>1740</v>
      </c>
      <c r="E6" s="25" t="s">
        <v>150</v>
      </c>
    </row>
    <row r="7" spans="2:5" x14ac:dyDescent="0.3">
      <c r="B7" s="25" t="s">
        <v>151</v>
      </c>
      <c r="C7" s="25">
        <v>2040</v>
      </c>
      <c r="D7" s="25">
        <v>2160</v>
      </c>
      <c r="E7" s="25" t="s">
        <v>150</v>
      </c>
    </row>
    <row r="8" spans="2:5" x14ac:dyDescent="0.3">
      <c r="B8" s="25" t="s">
        <v>152</v>
      </c>
      <c r="C8" s="25">
        <v>2460</v>
      </c>
      <c r="D8" s="25">
        <v>2580</v>
      </c>
      <c r="E8" s="25" t="s">
        <v>150</v>
      </c>
    </row>
    <row r="9" spans="2:5" x14ac:dyDescent="0.3">
      <c r="B9" s="25" t="s">
        <v>153</v>
      </c>
      <c r="C9" s="25">
        <v>2880</v>
      </c>
      <c r="D9" s="25">
        <v>3000</v>
      </c>
      <c r="E9" s="25" t="s">
        <v>150</v>
      </c>
    </row>
    <row r="10" spans="2:5" x14ac:dyDescent="0.3">
      <c r="B10" s="25" t="s">
        <v>154</v>
      </c>
      <c r="C10" s="25">
        <v>3300</v>
      </c>
      <c r="D10" s="25">
        <v>3420</v>
      </c>
      <c r="E10" s="25" t="s">
        <v>150</v>
      </c>
    </row>
    <row r="11" spans="2:5" x14ac:dyDescent="0.3">
      <c r="B11" s="25" t="s">
        <v>155</v>
      </c>
      <c r="C11" s="25">
        <v>3720</v>
      </c>
      <c r="D11" s="25">
        <v>3840</v>
      </c>
      <c r="E11" s="25" t="s">
        <v>150</v>
      </c>
    </row>
    <row r="12" spans="2:5" x14ac:dyDescent="0.3">
      <c r="B12" s="25" t="s">
        <v>156</v>
      </c>
      <c r="C12" s="25">
        <v>4140</v>
      </c>
      <c r="D12" s="25">
        <v>4260</v>
      </c>
      <c r="E12" s="25" t="s">
        <v>150</v>
      </c>
    </row>
    <row r="13" spans="2:5" x14ac:dyDescent="0.3">
      <c r="B13" s="25" t="s">
        <v>157</v>
      </c>
      <c r="C13" s="25">
        <v>4560</v>
      </c>
      <c r="D13" s="25">
        <v>4680</v>
      </c>
      <c r="E13" s="25" t="s">
        <v>150</v>
      </c>
    </row>
    <row r="14" spans="2:5" x14ac:dyDescent="0.3">
      <c r="B14" s="25" t="s">
        <v>158</v>
      </c>
      <c r="C14" s="25">
        <v>4980</v>
      </c>
      <c r="D14" s="25">
        <v>5100</v>
      </c>
      <c r="E14" s="2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UsageGuide</vt:lpstr>
      <vt:lpstr>devnetDC_dsg</vt:lpstr>
      <vt:lpstr>EventHours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Sunder Rajan</dc:creator>
  <cp:lastModifiedBy>Ashok Sunder Rajan</cp:lastModifiedBy>
  <dcterms:created xsi:type="dcterms:W3CDTF">2026-08-05T17:47:35Z</dcterms:created>
  <dcterms:modified xsi:type="dcterms:W3CDTF">2026-08-27T04:28:17Z</dcterms:modified>
</cp:coreProperties>
</file>